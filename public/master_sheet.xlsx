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hidePivotFieldList="1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CAC622B7-08D7-466A-A93B-644785C6F243}" xr6:coauthVersionLast="47" xr6:coauthVersionMax="47" xr10:uidLastSave="{00000000-0000-0000-0000-000000000000}"/>
  <bookViews>
    <workbookView xWindow="-110" yWindow="-110" windowWidth="19420" windowHeight="10300" firstSheet="4" activeTab="6" xr2:uid="{AE6D3727-9472-AA44-99FC-81845B6D7AF5}"/>
  </bookViews>
  <sheets>
    <sheet name="Summary Flash" sheetId="17" state="hidden" r:id="rId1"/>
    <sheet name="Summary Hulk" sheetId="18" state="hidden" r:id="rId2"/>
    <sheet name="Flash " sheetId="1" state="hidden" r:id="rId3"/>
    <sheet name="Hulk and flash " sheetId="19" state="hidden" r:id="rId4"/>
    <sheet name="Test Allocation" sheetId="26" r:id="rId5"/>
    <sheet name="OQC_Form" sheetId="27" r:id="rId6"/>
    <sheet name="Machine_Details" sheetId="28" r:id="rId7"/>
    <sheet name="Flash  (2)" sheetId="16" state="hidden" r:id="rId8"/>
    <sheet name="other" sheetId="7" state="hidden" r:id="rId9"/>
    <sheet name="Sheet2" sheetId="15" state="hidden" r:id="rId10"/>
    <sheet name="Random drop " sheetId="11" state="hidden" r:id="rId11"/>
    <sheet name="Sheet1" sheetId="14" state="hidden" r:id="rId12"/>
  </sheets>
  <definedNames>
    <definedName name="_xlnm._FilterDatabase" localSheetId="3" hidden="1">'Hulk and flash '!$A$29:$F$47</definedName>
    <definedName name="_xlnm._FilterDatabase" localSheetId="11" hidden="1">Sheet1!$A$1:$I$16</definedName>
    <definedName name="_xlnm._FilterDatabase" localSheetId="9" hidden="1">Sheet2!$B$10:$E$27</definedName>
    <definedName name="_xlnm._FilterDatabase" localSheetId="4" hidden="1">'Test Allocation'!$A$1:$G$152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9" i="26" l="1"/>
  <c r="H3" i="18" l="1"/>
  <c r="G6" i="18"/>
  <c r="G6" i="17"/>
  <c r="H7" i="17"/>
  <c r="H3" i="17"/>
  <c r="H10" i="17" s="1"/>
  <c r="H10" i="18" l="1"/>
  <c r="H12" i="18"/>
  <c r="H13" i="18"/>
  <c r="H14" i="18"/>
  <c r="H11" i="18"/>
  <c r="H7" i="18"/>
  <c r="H6" i="18"/>
  <c r="H8" i="18"/>
  <c r="H8" i="17"/>
  <c r="H6" i="17"/>
  <c r="G9" i="17" l="1"/>
  <c r="H9" i="17" s="1"/>
  <c r="G5" i="11"/>
  <c r="G4" i="11"/>
  <c r="G3" i="11"/>
  <c r="G8" i="11" s="1"/>
  <c r="H9" i="18" l="1"/>
</calcChain>
</file>

<file path=xl/sharedStrings.xml><?xml version="1.0" encoding="utf-8"?>
<sst xmlns="http://schemas.openxmlformats.org/spreadsheetml/2006/main" count="2834" uniqueCount="549">
  <si>
    <r>
      <rPr>
        <b/>
        <sz val="12"/>
        <color theme="1"/>
        <rFont val="Aptos Narrow"/>
        <family val="2"/>
        <scheme val="minor"/>
      </rPr>
      <t xml:space="preserve">Part description:  </t>
    </r>
    <r>
      <rPr>
        <sz val="12"/>
        <color theme="1"/>
        <rFont val="Aptos Narrow"/>
        <family val="2"/>
        <scheme val="minor"/>
      </rPr>
      <t xml:space="preserve">Flash Ano, Flash Assy, </t>
    </r>
  </si>
  <si>
    <r>
      <rPr>
        <b/>
        <sz val="12"/>
        <color theme="1"/>
        <rFont val="Aptos Narrow"/>
        <family val="2"/>
        <scheme val="minor"/>
      </rPr>
      <t xml:space="preserve">Production details:  </t>
    </r>
    <r>
      <rPr>
        <sz val="12"/>
        <color theme="1"/>
        <rFont val="Aptos Narrow"/>
        <family val="2"/>
        <scheme val="minor"/>
      </rPr>
      <t xml:space="preserve">NPI </t>
    </r>
    <r>
      <rPr>
        <sz val="12"/>
        <color theme="1"/>
        <rFont val="Aptos Narrow"/>
        <family val="2"/>
        <scheme val="minor"/>
      </rPr>
      <t>+ MP</t>
    </r>
  </si>
  <si>
    <t xml:space="preserve">Available hr per month </t>
  </si>
  <si>
    <t xml:space="preserve">Plan for new machine </t>
  </si>
  <si>
    <t>Sl no</t>
  </si>
  <si>
    <t>Processes Description</t>
  </si>
  <si>
    <t xml:space="preserve">Machine description </t>
  </si>
  <si>
    <t>Machine and make</t>
  </si>
  <si>
    <t xml:space="preserve">Number of machine available </t>
  </si>
  <si>
    <t xml:space="preserve">Total time to complete all the test </t>
  </si>
  <si>
    <t>GAP in hrs/ month</t>
  </si>
  <si>
    <t xml:space="preserve">new machine required to fulfillthe requirement  </t>
  </si>
  <si>
    <t xml:space="preserve">Approved machine Qty </t>
  </si>
  <si>
    <t>Quotation</t>
  </si>
  <si>
    <t>PR</t>
  </si>
  <si>
    <t>PO</t>
  </si>
  <si>
    <t xml:space="preserve">Remark </t>
  </si>
  <si>
    <t>Heat soak</t>
  </si>
  <si>
    <t xml:space="preserve">Heat Soak </t>
  </si>
  <si>
    <t>Good will instrument (Hitachi) 700lts</t>
  </si>
  <si>
    <t xml:space="preserve">Received </t>
  </si>
  <si>
    <t>Solar Exposure</t>
  </si>
  <si>
    <t>UV</t>
  </si>
  <si>
    <t>ATLAS/AMETEK</t>
  </si>
  <si>
    <t>Salt Spray</t>
  </si>
  <si>
    <t>Pull test, shear test</t>
  </si>
  <si>
    <t>UTM</t>
  </si>
  <si>
    <t xml:space="preserve">Instron </t>
  </si>
  <si>
    <t xml:space="preserve">Thermal cycle </t>
  </si>
  <si>
    <t xml:space="preserve">Thermal Cycling </t>
  </si>
  <si>
    <r>
      <rPr>
        <b/>
        <sz val="12"/>
        <color theme="1"/>
        <rFont val="Aptos Narrow"/>
        <family val="2"/>
        <scheme val="minor"/>
      </rPr>
      <t>Part description</t>
    </r>
    <r>
      <rPr>
        <sz val="12"/>
        <color theme="1"/>
        <rFont val="Aptos Narrow"/>
        <family val="2"/>
        <scheme val="minor"/>
      </rPr>
      <t xml:space="preserve"> Hulk </t>
    </r>
  </si>
  <si>
    <t>Ocean   Immersion 432h</t>
  </si>
  <si>
    <t xml:space="preserve">Ocean   Immersion </t>
  </si>
  <si>
    <t>Pool   Immersion 432h</t>
  </si>
  <si>
    <t>Pool   Immersion</t>
  </si>
  <si>
    <t>Tap   Immersion 432h</t>
  </si>
  <si>
    <t>Tap   Immersion</t>
  </si>
  <si>
    <t>ASI   (216 hrs)</t>
  </si>
  <si>
    <t>ASI</t>
  </si>
  <si>
    <t>Stage</t>
  </si>
  <si>
    <t>Test Type</t>
  </si>
  <si>
    <t>Test Name</t>
  </si>
  <si>
    <t>Test Condition</t>
  </si>
  <si>
    <t>Duration</t>
  </si>
  <si>
    <t>Qty</t>
  </si>
  <si>
    <t>Specification</t>
  </si>
  <si>
    <t xml:space="preserve">Machine </t>
  </si>
  <si>
    <t>NDA</t>
  </si>
  <si>
    <t>Ano NPI</t>
  </si>
  <si>
    <t>Mechanical</t>
  </si>
  <si>
    <t>Ano Hardness</t>
  </si>
  <si>
    <t>RT</t>
  </si>
  <si>
    <t>N/A</t>
  </si>
  <si>
    <t>10pcs/build</t>
  </si>
  <si>
    <t xml:space="preserve">&lt;300 HV0.05 </t>
  </si>
  <si>
    <t>-</t>
  </si>
  <si>
    <t>5x5 Delam</t>
  </si>
  <si>
    <t>≥15 Delam counts</t>
  </si>
  <si>
    <t>CS- 17 Taber</t>
  </si>
  <si>
    <t>3pcs/build</t>
  </si>
  <si>
    <t>&gt; grade 1 for 125g</t>
  </si>
  <si>
    <t>Taber Abraser</t>
  </si>
  <si>
    <t>&gt; grade 2 for 250g</t>
  </si>
  <si>
    <t>Steel Wool</t>
  </si>
  <si>
    <t>1-10 cycles &gt; 4</t>
  </si>
  <si>
    <t>25-200 cycles &gt; 5</t>
  </si>
  <si>
    <t>Environmental</t>
  </si>
  <si>
    <t>Short Term Survivability (STS)</t>
  </si>
  <si>
    <t>Temp : 85°C</t>
  </si>
  <si>
    <t>9 hr</t>
  </si>
  <si>
    <t>-Any sample with corrosion spot ≥250 μm</t>
  </si>
  <si>
    <t>HS -2</t>
  </si>
  <si>
    <t>RH : 20%</t>
  </si>
  <si>
    <t>- #&gt;2 corrosion spots of any size</t>
  </si>
  <si>
    <t>-Discoloration grade of C or worse in test</t>
  </si>
  <si>
    <t>Temperature &amp; Humidity Cycling (THC)</t>
  </si>
  <si>
    <t>-20 ~ +65℃ and 90% RH 6 Cycles</t>
  </si>
  <si>
    <t>72 hr</t>
  </si>
  <si>
    <t>Heat Soak</t>
  </si>
  <si>
    <t>Temp : 65°C</t>
  </si>
  <si>
    <t>72h, 168h,</t>
  </si>
  <si>
    <t>RH : 90%</t>
  </si>
  <si>
    <r>
      <t xml:space="preserve">336h, </t>
    </r>
    <r>
      <rPr>
        <b/>
        <sz val="12"/>
        <color rgb="FF000000"/>
        <rFont val="Aptos"/>
        <family val="2"/>
      </rPr>
      <t>504h</t>
    </r>
  </si>
  <si>
    <t>Salt Spray (SST)</t>
  </si>
  <si>
    <t>ASTM B117</t>
  </si>
  <si>
    <t>24 hr</t>
  </si>
  <si>
    <t>SST</t>
  </si>
  <si>
    <t>UV/ Solar Exposure</t>
  </si>
  <si>
    <t>Natural Sunlight-2.4</t>
  </si>
  <si>
    <t>100h, 200h,</t>
  </si>
  <si>
    <t>dE94 &gt; 3.0</t>
  </si>
  <si>
    <r>
      <t xml:space="preserve">300h, </t>
    </r>
    <r>
      <rPr>
        <b/>
        <sz val="12"/>
        <color rgb="FF000000"/>
        <rFont val="Aptos"/>
        <family val="2"/>
      </rPr>
      <t>600h</t>
    </r>
  </si>
  <si>
    <t>Steel Rain + Heat Soak</t>
  </si>
  <si>
    <t>Any sample with corrosion spot ≥250 μm</t>
  </si>
  <si>
    <t>HS - 2</t>
  </si>
  <si>
    <t>Chemical</t>
  </si>
  <si>
    <t>Chemical Sensitivity</t>
  </si>
  <si>
    <t>5pcs/build</t>
  </si>
  <si>
    <t>Follow Grade Criteria</t>
  </si>
  <si>
    <t xml:space="preserve">HS – 1 </t>
  </si>
  <si>
    <t xml:space="preserve">Assembly NPI </t>
  </si>
  <si>
    <t>ORT</t>
  </si>
  <si>
    <t>Screw half</t>
  </si>
  <si>
    <t>3 hr</t>
  </si>
  <si>
    <t>&lt;200N</t>
  </si>
  <si>
    <t>shear push test</t>
  </si>
  <si>
    <t>Post 24 Hrs</t>
  </si>
  <si>
    <t>32pcs/build</t>
  </si>
  <si>
    <t>Side snap pull force test ＞150N, Cleat pull force ＞150N</t>
  </si>
  <si>
    <t xml:space="preserve">Side snap shear test- Data collection                     </t>
  </si>
  <si>
    <t>Foot push out Test ＞100N</t>
  </si>
  <si>
    <t>Chemical + ORT</t>
  </si>
  <si>
    <t>Foot Chemical</t>
  </si>
  <si>
    <t>Oleic Acid</t>
  </si>
  <si>
    <t>168 hr</t>
  </si>
  <si>
    <t>3pcs/build/foot vendor  3pcs/build/foot vendor</t>
  </si>
  <si>
    <t>1. Cosmetic inspection</t>
  </si>
  <si>
    <t>Instron - 2</t>
  </si>
  <si>
    <t>Heat Soak 168H</t>
  </si>
  <si>
    <t>2. Foot push out</t>
  </si>
  <si>
    <t>Foot Survivability</t>
  </si>
  <si>
    <t> 72 hr</t>
  </si>
  <si>
    <t>3pcs/build/foot vendor</t>
  </si>
  <si>
    <t>Foot height ＞ 75%</t>
  </si>
  <si>
    <t>+</t>
  </si>
  <si>
    <t>Environmental + ORT</t>
  </si>
  <si>
    <t>85 hr</t>
  </si>
  <si>
    <t>Instron - 1</t>
  </si>
  <si>
    <t>28 hr</t>
  </si>
  <si>
    <t>6pcs/build</t>
  </si>
  <si>
    <t>Thermal Cycling</t>
  </si>
  <si>
    <t>-40℃ to +85℃ 100 Cycles</t>
  </si>
  <si>
    <t>110 hr</t>
  </si>
  <si>
    <t>Instron - 4</t>
  </si>
  <si>
    <t>65℃ and 90%</t>
  </si>
  <si>
    <t>Instron -3</t>
  </si>
  <si>
    <t>RH</t>
  </si>
  <si>
    <t>W/ 168H</t>
  </si>
  <si>
    <t>500 hr</t>
  </si>
  <si>
    <t>Instron</t>
  </si>
  <si>
    <t>W/ 500H</t>
  </si>
  <si>
    <t>Aequs Qty</t>
  </si>
  <si>
    <t>Equip.</t>
  </si>
  <si>
    <t>Ano MP</t>
  </si>
  <si>
    <t>3x/color/line/month</t>
  </si>
  <si>
    <t>3x/color/month</t>
  </si>
  <si>
    <t>1X color / Week</t>
  </si>
  <si>
    <t>5x/color/biweekly for</t>
  </si>
  <si>
    <t>3X per color / week</t>
  </si>
  <si>
    <t>300h</t>
  </si>
  <si>
    <t>first 3 months, then</t>
  </si>
  <si>
    <t>5x/color/month</t>
  </si>
  <si>
    <t>2x/color/month</t>
  </si>
  <si>
    <t>1X colour /2 week</t>
  </si>
  <si>
    <t>HS-01</t>
  </si>
  <si>
    <t>Assembly MP</t>
  </si>
  <si>
    <t>1x/day/each RM vendor</t>
  </si>
  <si>
    <t>1x/day/each</t>
  </si>
  <si>
    <t>1x/4h/Line</t>
  </si>
  <si>
    <t>1x/4h</t>
  </si>
  <si>
    <t>3x/month/foot vendor</t>
  </si>
  <si>
    <t>2X per 2 week / foot vendor</t>
  </si>
  <si>
    <t>1.Cosmetic inspection</t>
  </si>
  <si>
    <t>HS +Instron</t>
  </si>
  <si>
    <t>2.Foot push out ＞100N</t>
  </si>
  <si>
    <t>72 Hrs</t>
  </si>
  <si>
    <t>HS</t>
  </si>
  <si>
    <t>10x/month</t>
  </si>
  <si>
    <t xml:space="preserve">3X per week </t>
  </si>
  <si>
    <t>HS + Instron</t>
  </si>
  <si>
    <t>3x/month</t>
  </si>
  <si>
    <r>
      <t xml:space="preserve">1 x </t>
    </r>
    <r>
      <rPr>
        <sz val="14"/>
        <color rgb="FF000000"/>
        <rFont val="Helvetica Neue"/>
        <family val="2"/>
      </rPr>
      <t>per week</t>
    </r>
  </si>
  <si>
    <t>1.Cosmetic inspection -No corrosion ＞250um</t>
  </si>
  <si>
    <t>SST + Instron</t>
  </si>
  <si>
    <t>1 x per week</t>
  </si>
  <si>
    <t xml:space="preserve">2.Side snap pull force test ＞150N, </t>
  </si>
  <si>
    <t>3.Cleat pull force ＞150N</t>
  </si>
  <si>
    <r>
      <t xml:space="preserve">1 x per </t>
    </r>
    <r>
      <rPr>
        <sz val="14"/>
        <color rgb="FF000000"/>
        <rFont val="Aptos"/>
        <family val="2"/>
      </rPr>
      <t>week</t>
    </r>
  </si>
  <si>
    <t>4.Foot push out Test ＞100N</t>
  </si>
  <si>
    <t>TC + Instron</t>
  </si>
  <si>
    <t>HulK inspections  NPI &amp; MP</t>
  </si>
  <si>
    <t xml:space="preserve">Project details </t>
  </si>
  <si>
    <t xml:space="preserve">Hulk NPI </t>
  </si>
  <si>
    <t>Pull</t>
  </si>
  <si>
    <t>2 hr</t>
  </si>
  <si>
    <t>5 pcs/build</t>
  </si>
  <si>
    <t>Inward   Shear</t>
  </si>
  <si>
    <t>1 hr</t>
  </si>
  <si>
    <t>3 pcs/build</t>
  </si>
  <si>
    <t>Outward   Shear</t>
  </si>
  <si>
    <t>Rock   Tumble</t>
  </si>
  <si>
    <t>1   Cycle = 20m LM + 4min HM</t>
  </si>
  <si>
    <t>24 Hr</t>
  </si>
  <si>
    <t>6 pcs/build</t>
  </si>
  <si>
    <t>Totall Test Duration = 1, 3, 5 cycles</t>
  </si>
  <si>
    <t>Denim   Rub (Taber) 500 &amp; 3000 Cycles</t>
  </si>
  <si>
    <t>500   , 3000 Cycles</t>
  </si>
  <si>
    <t>48Hr</t>
  </si>
  <si>
    <t>2pcs/build</t>
  </si>
  <si>
    <t>Taber   5750</t>
  </si>
  <si>
    <t> CS-17 Taber</t>
  </si>
  <si>
    <t>CP:   T0, 1, 5, 10, 25, 100, 200</t>
  </si>
  <si>
    <t>24Hr</t>
  </si>
  <si>
    <t>Random   Drop 0.5m</t>
  </si>
  <si>
    <t>80   Drops</t>
  </si>
  <si>
    <t>72Hr</t>
  </si>
  <si>
    <t>25pcs/build</t>
  </si>
  <si>
    <t>Random   Drop</t>
  </si>
  <si>
    <t>Random   Drop 1m</t>
  </si>
  <si>
    <t>Random   Drop 1.25m</t>
  </si>
  <si>
    <t>CKV1   + Random Drop 1.25m</t>
  </si>
  <si>
    <t>24 Hr + 72Hr</t>
  </si>
  <si>
    <t>THC   + Random Drop 1.25m</t>
  </si>
  <si>
    <t>72 Hr + 72Hr</t>
  </si>
  <si>
    <t>CTL   Drop 1M granite</t>
  </si>
  <si>
    <t>17   Orientations</t>
  </si>
  <si>
    <t>96Hr</t>
  </si>
  <si>
    <t>20pcs/build</t>
  </si>
  <si>
    <t>CTRL   Drop</t>
  </si>
  <si>
    <t>THC</t>
  </si>
  <si>
    <t>72hr,   6 cycles</t>
  </si>
  <si>
    <t>Heat   Soak</t>
  </si>
  <si>
    <t>STS</t>
  </si>
  <si>
    <t>6hr,   85C</t>
  </si>
  <si>
    <t>6Hr</t>
  </si>
  <si>
    <t>SST   (72 hrs)</t>
  </si>
  <si>
    <t>CP:   T0, 24hr, 48hr, 72hr</t>
  </si>
  <si>
    <t>15pcs/build</t>
  </si>
  <si>
    <t>Salt   Spray</t>
  </si>
  <si>
    <t>CP:   T0, 72hr, 144hr, 216 hr</t>
  </si>
  <si>
    <t>216Hr</t>
  </si>
  <si>
    <t>ASI   Immersion</t>
  </si>
  <si>
    <t>CP:   T0, 144hr, 288hr, 432 hr</t>
  </si>
  <si>
    <t>432Hr</t>
  </si>
  <si>
    <t>Ocean   Immersion</t>
  </si>
  <si>
    <t>Standard   Chemical Sensitivity 72h</t>
  </si>
  <si>
    <t>Chem   Application (Split and HSG) + 72hr Heat Soak (65C/90%RH)</t>
  </si>
  <si>
    <t>12pcs/build</t>
  </si>
  <si>
    <t>Realistic   Chemical Sensitivity 24h</t>
  </si>
  <si>
    <t>Chem   Application (Split and HSG) + 24hr Heat Soak (65C/90%RH)</t>
  </si>
  <si>
    <t>Solar   Exposure UV 400h</t>
  </si>
  <si>
    <t>2.4   Outdoor Profile - CP: T0, 80hr, 160hr, 240hr, 320hr, 400hr</t>
  </si>
  <si>
    <t>400Hr</t>
  </si>
  <si>
    <t>Heat   Soak 504h 65/90</t>
  </si>
  <si>
    <t>CP:   T0, 144hrs, 288hr, 432hr, 504hr</t>
  </si>
  <si>
    <t>504Hr</t>
  </si>
  <si>
    <t>Heat   Soak 504h 85/85</t>
  </si>
  <si>
    <t>Hulk MP</t>
  </si>
  <si>
    <t>10 pcs/build</t>
  </si>
  <si>
    <t>rock tumble</t>
  </si>
  <si>
    <t xml:space="preserve">3000 Cycle </t>
  </si>
  <si>
    <t xml:space="preserve">CTL   Drop (HSV + Images) </t>
  </si>
  <si>
    <t>3pcs/build ( 1X after 3 months)</t>
  </si>
  <si>
    <t>SST   ()</t>
  </si>
  <si>
    <t>CP:   T0, 24hr, 48hr,</t>
  </si>
  <si>
    <t>5 pcs/build ( 1X after 3 months)</t>
  </si>
  <si>
    <t xml:space="preserve">Realistic   Chemical Sensitivity (Ti Housing X24 Chemical) </t>
  </si>
  <si>
    <t>Realistic   Chemical Sensitivity (entire split) sebum</t>
  </si>
  <si>
    <t>Realistic   Chemical Sensitivity (entire split) CKV2</t>
  </si>
  <si>
    <t xml:space="preserve">Heat   Soak </t>
  </si>
  <si>
    <t>CKV 2 [apple to entire split using realistic method] + Inward-Bound Shear</t>
  </si>
  <si>
    <t>Chem Application + 24h
65°C/90% RH Heat
Soak</t>
  </si>
  <si>
    <t>CKV 2 [apple to entire split using realistic method] + outward-Bound Shear</t>
  </si>
  <si>
    <t>CKV 2 [apple to entire split using realistic method] + Pull</t>
  </si>
  <si>
    <t>Flash Ano NPI</t>
  </si>
  <si>
    <t>HARDNESS</t>
  </si>
  <si>
    <t xml:space="preserve">Delam </t>
  </si>
  <si>
    <t>Taber</t>
  </si>
  <si>
    <t>Short Term Survivability (STS) Temp : 85°C RH : 20%</t>
  </si>
  <si>
    <t>Temperature &amp; Humidity Cycling (THC)
-20 ~ +65℃ and 90% RH 6 Cycles</t>
  </si>
  <si>
    <t>Heat Soak Temp : 65°C RH : 90%</t>
  </si>
  <si>
    <t>Salt Spray (SST) ASTM B117</t>
  </si>
  <si>
    <t>Salt spray tester</t>
  </si>
  <si>
    <t>UV/ Solar Exposure Natural Sunlight-2.4</t>
  </si>
  <si>
    <t>Steel Rain + Heat Soak Temp : 65°C RH : 90%</t>
  </si>
  <si>
    <t>Heat Soak + Steel Rain</t>
  </si>
  <si>
    <t>Chemical Sensitivity Temp : 65°C RH : 90%</t>
  </si>
  <si>
    <t>Screw halfshear push test</t>
  </si>
  <si>
    <t>Foot Chemical Heat Soak 168H</t>
  </si>
  <si>
    <t>Heat Soak + Instron</t>
  </si>
  <si>
    <t>Foot Survivability Temp : 65°C RH : 90%</t>
  </si>
  <si>
    <t>Heat Soak + Survivability + Instron</t>
  </si>
  <si>
    <t>Temperature &amp; Humidity Cycling (THC) -20 ~ +65℃ and 90% RH 6 Cycles</t>
  </si>
  <si>
    <t>Thermal Cycling -40℃ to +85℃ 100 Cycles</t>
  </si>
  <si>
    <t>Teraml cycling</t>
  </si>
  <si>
    <t>Heat Soak 65℃ and 90% 168</t>
  </si>
  <si>
    <t>Heat Soak 65℃ and 90% 500H</t>
  </si>
  <si>
    <t>Screw half shear push test</t>
  </si>
  <si>
    <t>1x/2h/Line</t>
  </si>
  <si>
    <t>Foot Survivability Temp : 65°C RH 90%</t>
  </si>
  <si>
    <t xml:space="preserve">Heat Soak 65℃ and 90% 500H </t>
  </si>
  <si>
    <t>Processes Stage</t>
  </si>
  <si>
    <t>Checkpoints</t>
  </si>
  <si>
    <t>Machine / Equipment-2</t>
  </si>
  <si>
    <t>Time</t>
  </si>
  <si>
    <t>Unit</t>
  </si>
  <si>
    <t>Location</t>
  </si>
  <si>
    <t>Ano Flash/Light NPI</t>
  </si>
  <si>
    <t xml:space="preserve">Hardness machine </t>
  </si>
  <si>
    <t>Cycle</t>
  </si>
  <si>
    <t>In House</t>
  </si>
  <si>
    <t xml:space="preserve">Out source </t>
  </si>
  <si>
    <t>CS-17 Taber</t>
  </si>
  <si>
    <t>CP:0, 1, 5, 10, 25, 100, 200 Cycles</t>
  </si>
  <si>
    <t>Taber Leanear abbraster</t>
  </si>
  <si>
    <t>Taber Leanear abbraster M/C</t>
  </si>
  <si>
    <t>CP:0g, 75g, 125g, 250g, 500g, 1000g</t>
  </si>
  <si>
    <t xml:space="preserve">Temp &amp; Humidity Chamber  </t>
  </si>
  <si>
    <t>Hours</t>
  </si>
  <si>
    <t>Temp : 65°C RH : 90%</t>
  </si>
  <si>
    <t>CP:T0, 72hr, 168hr, 336hr, 504hr</t>
  </si>
  <si>
    <t xml:space="preserve">Salt spray chamber  </t>
  </si>
  <si>
    <t>UV / Solar Exposure</t>
  </si>
  <si>
    <t>CP:T0, 100hr, 200hr, 300hr, 600hr</t>
  </si>
  <si>
    <t xml:space="preserve">UV chamber  </t>
  </si>
  <si>
    <t xml:space="preserve">Heat Soak + Steel Rain </t>
  </si>
  <si>
    <t>Steel Rain Setup</t>
  </si>
  <si>
    <t>Assembly Flash/Light NPI</t>
  </si>
  <si>
    <t>Screw Half</t>
  </si>
  <si>
    <t xml:space="preserve">UTM </t>
  </si>
  <si>
    <t>cycle</t>
  </si>
  <si>
    <t>Foot Chemical + UTM</t>
  </si>
  <si>
    <t>Oleic Acid Heat Soak 168H</t>
  </si>
  <si>
    <t xml:space="preserve">3pcs/build/foot vendor </t>
  </si>
  <si>
    <t xml:space="preserve">Heat Soak + Foot Survivability + UTM </t>
  </si>
  <si>
    <t xml:space="preserve">Temp &amp; Humidity Chamber </t>
  </si>
  <si>
    <t>CP:0, 1, 2, 3, 4, 5</t>
  </si>
  <si>
    <t>Foot Survivability M/C</t>
  </si>
  <si>
    <t>Temperature &amp; Humidity Cycling (THC) + UTM</t>
  </si>
  <si>
    <t>Salt Spray (SST) + UTM</t>
  </si>
  <si>
    <t>Thermal Cycling + UTM</t>
  </si>
  <si>
    <t xml:space="preserve">Thermal Cycle chamber </t>
  </si>
  <si>
    <t>Heat Soak + UTM</t>
  </si>
  <si>
    <t>Assembly Flash/Light MP</t>
  </si>
  <si>
    <t>Temp : 65°C RH 90% ; 72 Hrs</t>
  </si>
  <si>
    <t xml:space="preserve"> -20 ~ +65℃ and 90% RH 6 Cycles ; 72 hr</t>
  </si>
  <si>
    <t>SST + UTM</t>
  </si>
  <si>
    <t xml:space="preserve"> -40℃ to +85℃ 100 Cycles ; 110</t>
  </si>
  <si>
    <t>TC + UTM</t>
  </si>
  <si>
    <t>65℃ and 90% 168 hr</t>
  </si>
  <si>
    <t>65℃ and 90% 500 hr</t>
  </si>
  <si>
    <t>Ano Flash/Light MP</t>
  </si>
  <si>
    <t>TBA</t>
  </si>
  <si>
    <t>CP:0, 100, 200, 300</t>
  </si>
  <si>
    <t>CP:0, 100, 200, 300 Cycles</t>
  </si>
  <si>
    <t xml:space="preserve">UV chamber </t>
  </si>
  <si>
    <t>Screw Half Shear Push Test</t>
  </si>
  <si>
    <t xml:space="preserve">1x/2h/Line (180 ) </t>
  </si>
  <si>
    <t xml:space="preserve">Pull test </t>
  </si>
  <si>
    <t xml:space="preserve">Inward Shear test </t>
  </si>
  <si>
    <t xml:space="preserve">Outward Shear test </t>
  </si>
  <si>
    <t>Rock Tumble</t>
  </si>
  <si>
    <t>1   Cycle = 20m LM + 4min HM Totall Test Duration = 1, 3, 5 cycles</t>
  </si>
  <si>
    <t>CP:0, 1, 3, 5 Cycles</t>
  </si>
  <si>
    <t>Rock Tumble Setup</t>
  </si>
  <si>
    <t>Denim Rub (Taber) 500 &amp; 3000 Cycles</t>
  </si>
  <si>
    <t>CP:0, 500, 3000 Cycles</t>
  </si>
  <si>
    <t>CP:T0, 1, 5, 10, 25, 100, 200</t>
  </si>
  <si>
    <t>Random Drop 0.5m</t>
  </si>
  <si>
    <t>CP:T0, 1, 2, 6, 10, 20, 30, 40, 60, 80</t>
  </si>
  <si>
    <t>Random Drop 0.5M Setup</t>
  </si>
  <si>
    <t>Random Drop 1m</t>
  </si>
  <si>
    <t>Random Drop 1M Setup</t>
  </si>
  <si>
    <t>Random Drop 1.25m</t>
  </si>
  <si>
    <t>Random Drop 1.25M Setup</t>
  </si>
  <si>
    <t>CKV 1 + Random Drop 1.25m</t>
  </si>
  <si>
    <t>Temperature &amp; Humidity Cycling (THC) + Random Drop 1.25m</t>
  </si>
  <si>
    <t>CTL Drop 1M granite</t>
  </si>
  <si>
    <t>Control Drop 1M Setup</t>
  </si>
  <si>
    <t>Salt Spray (SST) 72h</t>
  </si>
  <si>
    <t>CP:T0, 24hr, 48hr, 72hr</t>
  </si>
  <si>
    <t>ASI (216 hrs)</t>
  </si>
  <si>
    <t>CP:T0, 72hr, 144hr, 216 hr</t>
  </si>
  <si>
    <t>ASI Immersion</t>
  </si>
  <si>
    <t>ASI Immersion Chamber</t>
  </si>
  <si>
    <t>Ocean Immersion 432h</t>
  </si>
  <si>
    <t>CP:T0, 144hr, 288hr, 432 hr</t>
  </si>
  <si>
    <t>Ocean Immersion Chamber</t>
  </si>
  <si>
    <t>Pool Immersion 432h</t>
  </si>
  <si>
    <t>Pool Immersion Chamber</t>
  </si>
  <si>
    <t>Tap Immersion 432h</t>
  </si>
  <si>
    <t xml:space="preserve">Tap Immersion Chamber </t>
  </si>
  <si>
    <t>Standard Chemical Sensitivity 72h</t>
  </si>
  <si>
    <t>Realistic Chemical Sensitivity 24h</t>
  </si>
  <si>
    <t>Solar Exposure UV 400h</t>
  </si>
  <si>
    <t>CP:T0, 80hr, 160hr, 240hr, 320hr, 400hr</t>
  </si>
  <si>
    <t>504h 65/90 ; CP:   T0, 144hrs, 288hr, 432hr, 504hr</t>
  </si>
  <si>
    <t>CP:T0, 144hrs, 288hr, 432hr, 504hr</t>
  </si>
  <si>
    <t>504h 85/85 ; CP:   T0, 144hrs, 288hr, 432hr, 504hr</t>
  </si>
  <si>
    <t>30 hrs</t>
  </si>
  <si>
    <t>CP: 1, 3, 5 Cycles</t>
  </si>
  <si>
    <t>CP : 500   , 3000 Cycles</t>
  </si>
  <si>
    <t>CTL Drop</t>
  </si>
  <si>
    <t>96 hrs</t>
  </si>
  <si>
    <t>CP:0, 1, 2, 3, 4, 5, 6, 7, 8, 9, 10, 11, 12, 13, 14, 15, 16, 17</t>
  </si>
  <si>
    <t xml:space="preserve">72hr,   </t>
  </si>
  <si>
    <t xml:space="preserve">Realistic Chemical Sensitivity (Ti Housing X24 Chemical) </t>
  </si>
  <si>
    <t>Realistic Chemical Sensitivity (entire split) sebum</t>
  </si>
  <si>
    <t>Realistic Chemical Sensitivity (entire split) CKV2</t>
  </si>
  <si>
    <t>240 hrs</t>
  </si>
  <si>
    <t>CP:T0, 80hr, 160hr, 240hr</t>
  </si>
  <si>
    <t>CKV 2 [apple to entire split using realistic method] + Outward-Bound Shear</t>
  </si>
  <si>
    <t>CKV 2 [apple to entire split using realistic method] + Pull test</t>
  </si>
  <si>
    <t>Ano Flash/Light Line/Machine Qualification</t>
  </si>
  <si>
    <t>CP:0, 1, 5, 10, 25, 100, 200 Cyles</t>
  </si>
  <si>
    <t>CP:T0, 72h, 168h, 336h, 504h</t>
  </si>
  <si>
    <t xml:space="preserve">CP:T0, 100h, 200h, 300h, </t>
  </si>
  <si>
    <t xml:space="preserve"> Steel Rain +Heat Soak </t>
  </si>
  <si>
    <t>Assembly Flash/Light Line/Machine Qualification</t>
  </si>
  <si>
    <t>Hulk Line/Machine Qualification</t>
  </si>
  <si>
    <t>CP: 0, 500, 3000 Cycles</t>
  </si>
  <si>
    <t>72hr,  </t>
  </si>
  <si>
    <t>6hr,   85 C</t>
  </si>
  <si>
    <t>Flash ORT inspection plan NPI &amp; MP</t>
  </si>
  <si>
    <t>Machine</t>
  </si>
  <si>
    <t>Mass Production</t>
  </si>
  <si>
    <t xml:space="preserve">Duration of testing </t>
  </si>
  <si>
    <t>Machine / Eqipment</t>
  </si>
  <si>
    <t xml:space="preserve"> ANO Flash NPI</t>
  </si>
  <si>
    <t xml:space="preserve">1 hr </t>
  </si>
  <si>
    <t xml:space="preserve">Ano MP </t>
  </si>
  <si>
    <t xml:space="preserve"> Assy Flash NPI</t>
  </si>
  <si>
    <t xml:space="preserve">Thermal cycle + Instron </t>
  </si>
  <si>
    <t xml:space="preserve"> Assy Flash MP</t>
  </si>
  <si>
    <t xml:space="preserve">3 parts per week </t>
  </si>
  <si>
    <t>Hulk NPI</t>
  </si>
  <si>
    <t xml:space="preserve">Slide </t>
  </si>
  <si>
    <t xml:space="preserve">Current </t>
  </si>
  <si>
    <t xml:space="preserve">requiremnt </t>
  </si>
  <si>
    <t xml:space="preserve">Remaeks </t>
  </si>
  <si>
    <t xml:space="preserve">Machine name </t>
  </si>
  <si>
    <t xml:space="preserve">Qty Available </t>
  </si>
  <si>
    <t xml:space="preserve">Type </t>
  </si>
  <si>
    <t xml:space="preserve">Testing </t>
  </si>
  <si>
    <t xml:space="preserve">testing Hr </t>
  </si>
  <si>
    <t xml:space="preserve">Makers </t>
  </si>
  <si>
    <t>Sl #</t>
  </si>
  <si>
    <t>Description</t>
  </si>
  <si>
    <t>Vendor Name</t>
  </si>
  <si>
    <t>Model</t>
  </si>
  <si>
    <t>RANDOM DROP</t>
  </si>
  <si>
    <t>Lumina Provided</t>
  </si>
  <si>
    <t>CONTROL DROP</t>
  </si>
  <si>
    <t>Topnotch</t>
  </si>
  <si>
    <t>DT-202</t>
  </si>
  <si>
    <t>ROCK TUMBLER</t>
  </si>
  <si>
    <t>3 Set</t>
  </si>
  <si>
    <t xml:space="preserve">Heat plkan vs actual </t>
  </si>
  <si>
    <t>X-RITE SPECTRALIGHT III</t>
  </si>
  <si>
    <t>Pantone</t>
  </si>
  <si>
    <t>HEAT SOAK</t>
  </si>
  <si>
    <t>Good will instrument (Hitachi)</t>
  </si>
  <si>
    <t>EC-86MHPH</t>
  </si>
  <si>
    <t>THERMAL CHAMBER</t>
  </si>
  <si>
    <t>EC-85EXTH20B</t>
  </si>
  <si>
    <t>UV CHAMBER</t>
  </si>
  <si>
    <t>CI5000</t>
  </si>
  <si>
    <t>SALT SPRAY</t>
  </si>
  <si>
    <t>CCX4000</t>
  </si>
  <si>
    <t>`</t>
  </si>
  <si>
    <t>TABER LINEAR ABRASER</t>
  </si>
  <si>
    <t>Khusbhabu Scientfic</t>
  </si>
  <si>
    <t>ELECTRO MECHANICAL UTM INSTRON</t>
  </si>
  <si>
    <t>685C-5</t>
  </si>
  <si>
    <t>FOOT SURVIVABILITY TEST</t>
  </si>
  <si>
    <t>Shalghai Shunfei Autosystem</t>
  </si>
  <si>
    <t>FW-03</t>
  </si>
  <si>
    <t>Pencil Hardness</t>
  </si>
  <si>
    <t>BYK</t>
  </si>
  <si>
    <t>TAP Immersion</t>
  </si>
  <si>
    <t>CYG</t>
  </si>
  <si>
    <t>CYG008-EC-Immer M2D-N-V01.00</t>
  </si>
  <si>
    <t>POOL Immersion</t>
  </si>
  <si>
    <t>CYG008-EC-Immer M2C-N-V01.00</t>
  </si>
  <si>
    <t>OCEAN Immersion</t>
  </si>
  <si>
    <t>CYG008-EC-Immer M1C-N-V01.00</t>
  </si>
  <si>
    <t>M1-DUAL ASI (M1C)</t>
  </si>
  <si>
    <t>Constant Temperature and Humidity Chamber</t>
  </si>
  <si>
    <t>Cosmopia Hightech Corp.</t>
  </si>
  <si>
    <t>EC-46 MHP</t>
  </si>
  <si>
    <t xml:space="preserve">Random Drop </t>
  </si>
  <si>
    <t>Duration of testing / Hrs</t>
  </si>
  <si>
    <t>24  + 72</t>
  </si>
  <si>
    <t>72  + 72</t>
  </si>
  <si>
    <t>Control Drop</t>
  </si>
  <si>
    <t>\</t>
  </si>
  <si>
    <t>Out source 23</t>
  </si>
  <si>
    <t xml:space="preserve">Machine / Equipment </t>
  </si>
  <si>
    <t>ASSEMBLY_ANO_OPTIONS</t>
  </si>
  <si>
    <t>SOURCE_OPTIONS_ANO</t>
  </si>
  <si>
    <t>SOURCE_OPTIONS_ASSEMBLY</t>
  </si>
  <si>
    <t>SOURCE_OPTIONS_OLEO</t>
  </si>
  <si>
    <t>PROJECT_OPTIONS</t>
  </si>
  <si>
    <t>COLOUR_OPTIONS</t>
  </si>
  <si>
    <t>REASON_OPTIONS</t>
  </si>
  <si>
    <t>ANO</t>
  </si>
  <si>
    <t>ASSEMBLY</t>
  </si>
  <si>
    <t>OLE</t>
  </si>
  <si>
    <t>Entire</t>
  </si>
  <si>
    <t>Line1</t>
  </si>
  <si>
    <t>Lin2</t>
  </si>
  <si>
    <t>FLASH</t>
  </si>
  <si>
    <t>LIGHT</t>
  </si>
  <si>
    <t>HULK</t>
  </si>
  <si>
    <t>AQUA</t>
  </si>
  <si>
    <t>Stardust</t>
  </si>
  <si>
    <t>Light Blue</t>
  </si>
  <si>
    <t>MP</t>
  </si>
  <si>
    <t>NPI</t>
  </si>
  <si>
    <t>Line Qualification</t>
  </si>
  <si>
    <t>Machine Qualification</t>
  </si>
  <si>
    <t>AQS-ORT-ASI-1</t>
  </si>
  <si>
    <t>AQS-ORT-ASI-2</t>
  </si>
  <si>
    <t>AQS-ORT-Ctl-1</t>
  </si>
  <si>
    <t>Control Drop 1M</t>
  </si>
  <si>
    <t>AQS-ORT-FS-1</t>
  </si>
  <si>
    <t>AQS-ORT-HRD-1</t>
  </si>
  <si>
    <t>Hardness Machine</t>
  </si>
  <si>
    <t>AQS-ORT-THC-1</t>
  </si>
  <si>
    <t>AQS-ORT-THC-2</t>
  </si>
  <si>
    <t>AQS-ORT-OCI-1</t>
  </si>
  <si>
    <t>Ocean Immersion</t>
  </si>
  <si>
    <t>AQS-ORT-OCI-2</t>
  </si>
  <si>
    <t>AQS-ORT-PI-1</t>
  </si>
  <si>
    <t>AQS-ORT-PI-2</t>
  </si>
  <si>
    <t>Pool Immersion</t>
  </si>
  <si>
    <t>AQS-ORT-RD-1</t>
  </si>
  <si>
    <t>Random Drop 1.25M</t>
  </si>
  <si>
    <t>AQS-ORT-RD-2</t>
  </si>
  <si>
    <t>Random Drop 1M</t>
  </si>
  <si>
    <t>AQS-ORT-RD-3</t>
  </si>
  <si>
    <t>Random Drop 0.5M</t>
  </si>
  <si>
    <t>AQS-ORT-RT-1</t>
  </si>
  <si>
    <t>AQS-ORT-RT-2</t>
  </si>
  <si>
    <t>AQS-ORT-RT-3</t>
  </si>
  <si>
    <t>AQS-ORT-RT-4</t>
  </si>
  <si>
    <t>AQS-ORT-RT-5</t>
  </si>
  <si>
    <t>AQS-ORT-SST-1</t>
  </si>
  <si>
    <t>AQS-ORT-SR-1</t>
  </si>
  <si>
    <t>Steel Rain</t>
  </si>
  <si>
    <t>AQS-ORT-TI-1</t>
  </si>
  <si>
    <t>AQS-ORT-TI-2</t>
  </si>
  <si>
    <t>Tap Immersion</t>
  </si>
  <si>
    <t>AQS-ORT-TC-1</t>
  </si>
  <si>
    <t>Thermal Cycle</t>
  </si>
  <si>
    <t>AQS-ORT-UTM-1</t>
  </si>
  <si>
    <t>AQS-ORT-UV-1</t>
  </si>
  <si>
    <t>machine_id</t>
  </si>
  <si>
    <t>machine_description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</si>
</sst>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3">
    <font>
      <sz val="12"/>
      <color theme="1"/>
      <name val="Aptos Narrow"/>
      <family val="2"/>
      <scheme val="minor"/>
    </font>
    <font>
      <sz val="18"/>
      <name val="Arial"/>
      <family val="2"/>
    </font>
    <font>
      <sz val="20"/>
      <color rgb="FFFFFFFF"/>
      <name val="Aptos"/>
      <family val="2"/>
    </font>
    <font>
      <b/>
      <sz val="20"/>
      <color rgb="FFFFFFFF"/>
      <name val="Helvetica Neue"/>
      <family val="2"/>
    </font>
    <font>
      <sz val="12"/>
      <color rgb="FF000000"/>
      <name val="Aptos"/>
      <family val="2"/>
    </font>
    <font>
      <sz val="14"/>
      <color rgb="FF000000"/>
      <name val="Aptos"/>
      <family val="2"/>
    </font>
    <font>
      <sz val="12"/>
      <color rgb="FF0070C0"/>
      <name val="Aptos"/>
      <family val="2"/>
    </font>
    <font>
      <sz val="12"/>
      <color rgb="FF000000"/>
      <name val="Arial"/>
      <family val="2"/>
    </font>
    <font>
      <b/>
      <sz val="12"/>
      <color rgb="FF000000"/>
      <name val="Aptos"/>
      <family val="2"/>
    </font>
    <font>
      <b/>
      <sz val="12"/>
      <color theme="1"/>
      <name val="Aptos Narrow"/>
      <family val="2"/>
      <scheme val="minor"/>
    </font>
    <font>
      <sz val="8"/>
      <color rgb="FF000000"/>
      <name val="Aptos"/>
      <family val="2"/>
    </font>
    <font>
      <sz val="8"/>
      <color theme="1"/>
      <name val="Aptos Narrow"/>
      <family val="2"/>
      <scheme val="minor"/>
    </font>
    <font>
      <sz val="12"/>
      <color rgb="FFFFFFFF"/>
      <name val="Aptos"/>
      <family val="2"/>
    </font>
    <font>
      <b/>
      <sz val="8"/>
      <color theme="1"/>
      <name val="Aptos"/>
      <family val="2"/>
    </font>
    <font>
      <sz val="8"/>
      <color theme="1"/>
      <name val="Aptos"/>
      <family val="2"/>
    </font>
    <font>
      <sz val="12"/>
      <color theme="1"/>
      <name val="Aptos"/>
      <family val="2"/>
    </font>
    <font>
      <sz val="12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4"/>
      <color rgb="FF000000"/>
      <name val="Helvetica Neue"/>
      <family val="2"/>
    </font>
    <font>
      <b/>
      <sz val="14"/>
      <color rgb="FF000000"/>
      <name val="Aptos"/>
      <family val="2"/>
    </font>
    <font>
      <b/>
      <sz val="20"/>
      <color rgb="FFFFFFFF"/>
      <name val="Aptos"/>
      <family val="2"/>
    </font>
    <font>
      <b/>
      <sz val="12"/>
      <color rgb="FFFFFFFF"/>
      <name val="Helvetica Neue"/>
      <family val="2"/>
    </font>
    <font>
      <sz val="12"/>
      <color rgb="FF000000"/>
      <name val="Helvetica Neue"/>
      <family val="2"/>
    </font>
    <font>
      <sz val="12"/>
      <name val="Arial"/>
      <family val="2"/>
    </font>
    <font>
      <b/>
      <sz val="12"/>
      <color theme="1"/>
      <name val="Aptos Narrow"/>
      <scheme val="minor"/>
    </font>
    <font>
      <b/>
      <sz val="18"/>
      <color theme="1"/>
      <name val="Aptos Narrow"/>
      <scheme val="minor"/>
    </font>
    <font>
      <b/>
      <sz val="14"/>
      <color rgb="FF000000"/>
      <name val="Aptos"/>
    </font>
    <font>
      <sz val="10"/>
      <color theme="1"/>
      <name val="Aptos Narrow"/>
      <family val="2"/>
      <scheme val="minor"/>
    </font>
    <font>
      <b/>
      <sz val="10"/>
      <color rgb="FFFFFFFF"/>
      <name val="Aptos"/>
      <family val="2"/>
    </font>
    <font>
      <sz val="10"/>
      <color rgb="FF000000"/>
      <name val="Aptos"/>
      <family val="2"/>
    </font>
    <font>
      <b/>
      <sz val="10"/>
      <color rgb="FF000000"/>
      <name val="Aptos"/>
      <family val="2"/>
    </font>
    <font>
      <sz val="10"/>
      <color rgb="FF000000"/>
      <name val="Aptos"/>
    </font>
    <font>
      <b/>
      <sz val="10"/>
      <color theme="1"/>
      <name val="Aptos"/>
      <family val="2"/>
    </font>
    <font>
      <sz val="10"/>
      <color theme="1"/>
      <name val="Aptos"/>
    </font>
    <font>
      <sz val="10"/>
      <color theme="1"/>
      <name val="Aptos"/>
      <family val="2"/>
    </font>
    <font>
      <b/>
      <sz val="10"/>
      <color theme="1"/>
      <name val="Aptos Narrow"/>
      <family val="2"/>
      <scheme val="minor"/>
    </font>
    <font>
      <sz val="10"/>
      <name val="Aptos"/>
      <family val="2"/>
    </font>
    <font>
      <sz val="8"/>
      <name val="Aptos Narrow"/>
      <family val="2"/>
      <scheme val="minor"/>
    </font>
    <font>
      <b/>
      <sz val="10"/>
      <color theme="0"/>
      <name val="Aptos Narrow"/>
      <scheme val="minor"/>
    </font>
    <font>
      <sz val="10"/>
      <color theme="1"/>
      <name val="Aptos Narrow"/>
      <scheme val="minor"/>
    </font>
    <font>
      <b/>
      <sz val="10"/>
      <color theme="0"/>
      <name val="Aptos Display"/>
      <scheme val="major"/>
    </font>
    <font>
      <sz val="10"/>
      <color theme="1"/>
      <name val="Aptos Display"/>
      <scheme val="major"/>
    </font>
    <font>
      <sz val="10"/>
      <color rgb="FF00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959AA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</fills>
  <borders count="58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rgb="FF000000"/>
      </left>
      <right style="medium">
        <color rgb="FF000000"/>
      </right>
      <top style="thin">
        <color rgb="FF000000"/>
      </top>
      <bottom/>
      <diagonal/>
    </border>
    <border>
      <left style="thick">
        <color rgb="FF000000"/>
      </left>
      <right style="medium">
        <color rgb="FF000000"/>
      </right>
      <top/>
      <bottom/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/>
      <bottom style="thick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6" fillId="0" borderId="0"/>
  </cellStyleXfs>
  <cellXfs count="25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center" vertical="center" wrapText="1" readingOrder="1"/>
    </xf>
    <xf numFmtId="0" fontId="4" fillId="0" borderId="7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4" fillId="0" borderId="8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left" vertical="center" wrapText="1"/>
    </xf>
    <xf numFmtId="0" fontId="12" fillId="2" borderId="17" xfId="0" applyFont="1" applyFill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0" fillId="0" borderId="17" xfId="0" applyBorder="1"/>
    <xf numFmtId="0" fontId="11" fillId="0" borderId="17" xfId="0" applyFont="1" applyBorder="1" applyAlignment="1">
      <alignment horizontal="center" vertical="center"/>
    </xf>
    <xf numFmtId="0" fontId="10" fillId="0" borderId="17" xfId="0" applyFont="1" applyBorder="1" applyAlignment="1">
      <alignment horizontal="left" vertical="center" wrapText="1"/>
    </xf>
    <xf numFmtId="0" fontId="10" fillId="0" borderId="17" xfId="0" applyFont="1" applyBorder="1" applyAlignment="1">
      <alignment horizontal="center" vertical="center" wrapText="1" readingOrder="1"/>
    </xf>
    <xf numFmtId="0" fontId="14" fillId="0" borderId="17" xfId="0" applyFont="1" applyBorder="1"/>
    <xf numFmtId="0" fontId="14" fillId="0" borderId="17" xfId="0" applyFont="1" applyBorder="1" applyAlignment="1">
      <alignment horizontal="center"/>
    </xf>
    <xf numFmtId="0" fontId="14" fillId="0" borderId="17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17" xfId="0" applyBorder="1" applyAlignment="1">
      <alignment horizontal="center"/>
    </xf>
    <xf numFmtId="0" fontId="16" fillId="0" borderId="0" xfId="0" applyFont="1"/>
    <xf numFmtId="0" fontId="9" fillId="0" borderId="0" xfId="0" applyFont="1"/>
    <xf numFmtId="0" fontId="13" fillId="0" borderId="17" xfId="0" applyFont="1" applyBorder="1" applyAlignment="1">
      <alignment vertical="center"/>
    </xf>
    <xf numFmtId="0" fontId="12" fillId="2" borderId="17" xfId="0" applyFont="1" applyFill="1" applyBorder="1" applyAlignment="1">
      <alignment horizontal="left" vertical="center" wrapText="1"/>
    </xf>
    <xf numFmtId="0" fontId="14" fillId="0" borderId="17" xfId="0" applyFont="1" applyBorder="1" applyAlignment="1">
      <alignment horizontal="left"/>
    </xf>
    <xf numFmtId="0" fontId="0" fillId="0" borderId="0" xfId="0" applyAlignment="1">
      <alignment horizontal="left"/>
    </xf>
    <xf numFmtId="0" fontId="5" fillId="0" borderId="25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8" fillId="0" borderId="25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 readingOrder="1"/>
    </xf>
    <xf numFmtId="0" fontId="5" fillId="0" borderId="27" xfId="0" applyFont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18" fillId="0" borderId="27" xfId="0" applyFont="1" applyBorder="1" applyAlignment="1">
      <alignment horizontal="center" vertical="center" wrapText="1"/>
    </xf>
    <xf numFmtId="0" fontId="18" fillId="0" borderId="26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 readingOrder="1"/>
    </xf>
    <xf numFmtId="0" fontId="10" fillId="0" borderId="18" xfId="0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 wrapText="1" readingOrder="1"/>
    </xf>
    <xf numFmtId="0" fontId="10" fillId="0" borderId="18" xfId="0" applyFont="1" applyBorder="1" applyAlignment="1">
      <alignment vertical="center" wrapText="1"/>
    </xf>
    <xf numFmtId="0" fontId="10" fillId="0" borderId="18" xfId="0" applyFont="1" applyBorder="1" applyAlignment="1">
      <alignment vertical="center" wrapText="1" readingOrder="1"/>
    </xf>
    <xf numFmtId="0" fontId="14" fillId="0" borderId="18" xfId="0" applyFont="1" applyBorder="1" applyAlignment="1">
      <alignment vertical="center"/>
    </xf>
    <xf numFmtId="0" fontId="14" fillId="0" borderId="28" xfId="0" applyFont="1" applyBorder="1" applyAlignment="1">
      <alignment vertical="center"/>
    </xf>
    <xf numFmtId="0" fontId="14" fillId="0" borderId="17" xfId="0" applyFont="1" applyBorder="1" applyAlignment="1">
      <alignment vertical="center"/>
    </xf>
    <xf numFmtId="0" fontId="20" fillId="2" borderId="1" xfId="0" applyFont="1" applyFill="1" applyBorder="1" applyAlignment="1">
      <alignment horizontal="center" vertical="center" wrapText="1"/>
    </xf>
    <xf numFmtId="0" fontId="20" fillId="2" borderId="29" xfId="0" applyFont="1" applyFill="1" applyBorder="1" applyAlignment="1">
      <alignment horizontal="center" vertical="center" wrapText="1"/>
    </xf>
    <xf numFmtId="0" fontId="3" fillId="2" borderId="29" xfId="0" applyFont="1" applyFill="1" applyBorder="1" applyAlignment="1">
      <alignment horizontal="center" vertical="center" wrapText="1"/>
    </xf>
    <xf numFmtId="0" fontId="5" fillId="0" borderId="24" xfId="0" applyFont="1" applyBorder="1" applyAlignment="1">
      <alignment horizontal="left" vertical="center" wrapText="1"/>
    </xf>
    <xf numFmtId="0" fontId="5" fillId="0" borderId="25" xfId="0" applyFont="1" applyBorder="1" applyAlignment="1">
      <alignment horizontal="left" vertical="center" wrapText="1"/>
    </xf>
    <xf numFmtId="0" fontId="5" fillId="0" borderId="27" xfId="0" applyFont="1" applyBorder="1" applyAlignment="1">
      <alignment horizontal="left" vertical="center" wrapText="1"/>
    </xf>
    <xf numFmtId="0" fontId="5" fillId="0" borderId="26" xfId="0" applyFont="1" applyBorder="1" applyAlignment="1">
      <alignment horizontal="left" vertical="center" wrapText="1"/>
    </xf>
    <xf numFmtId="0" fontId="18" fillId="0" borderId="25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13" fillId="0" borderId="17" xfId="0" applyFont="1" applyBorder="1" applyAlignment="1">
      <alignment horizontal="left" vertical="center"/>
    </xf>
    <xf numFmtId="0" fontId="14" fillId="0" borderId="17" xfId="0" applyFont="1" applyBorder="1" applyAlignment="1">
      <alignment horizontal="left" wrapText="1"/>
    </xf>
    <xf numFmtId="0" fontId="5" fillId="0" borderId="25" xfId="0" applyFont="1" applyBorder="1" applyAlignment="1">
      <alignment vertical="center" wrapText="1"/>
    </xf>
    <xf numFmtId="0" fontId="5" fillId="0" borderId="27" xfId="0" applyFont="1" applyBorder="1" applyAlignment="1">
      <alignment vertical="center" wrapText="1"/>
    </xf>
    <xf numFmtId="0" fontId="5" fillId="0" borderId="26" xfId="0" applyFont="1" applyBorder="1" applyAlignment="1">
      <alignment vertical="center" wrapText="1"/>
    </xf>
    <xf numFmtId="0" fontId="18" fillId="0" borderId="25" xfId="0" applyFont="1" applyBorder="1" applyAlignment="1">
      <alignment vertical="center" wrapText="1"/>
    </xf>
    <xf numFmtId="0" fontId="18" fillId="0" borderId="27" xfId="0" applyFont="1" applyBorder="1" applyAlignment="1">
      <alignment vertical="center" wrapText="1"/>
    </xf>
    <xf numFmtId="0" fontId="18" fillId="0" borderId="26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 readingOrder="1"/>
    </xf>
    <xf numFmtId="0" fontId="5" fillId="0" borderId="27" xfId="0" applyFont="1" applyBorder="1" applyAlignment="1">
      <alignment vertical="center" wrapText="1" readingOrder="1"/>
    </xf>
    <xf numFmtId="0" fontId="5" fillId="0" borderId="26" xfId="0" applyFont="1" applyBorder="1" applyAlignment="1">
      <alignment vertical="center" wrapText="1" readingOrder="1"/>
    </xf>
    <xf numFmtId="0" fontId="5" fillId="0" borderId="21" xfId="0" applyFont="1" applyBorder="1" applyAlignment="1">
      <alignment vertical="center" wrapText="1"/>
    </xf>
    <xf numFmtId="0" fontId="5" fillId="0" borderId="22" xfId="0" applyFont="1" applyBorder="1" applyAlignment="1">
      <alignment vertical="center" wrapText="1"/>
    </xf>
    <xf numFmtId="0" fontId="5" fillId="0" borderId="30" xfId="0" applyFont="1" applyBorder="1" applyAlignment="1">
      <alignment vertical="center" wrapText="1"/>
    </xf>
    <xf numFmtId="0" fontId="19" fillId="0" borderId="25" xfId="0" applyFont="1" applyBorder="1" applyAlignment="1">
      <alignment vertical="center" wrapText="1"/>
    </xf>
    <xf numFmtId="0" fontId="19" fillId="0" borderId="27" xfId="0" applyFont="1" applyBorder="1" applyAlignment="1">
      <alignment vertical="center" wrapText="1"/>
    </xf>
    <xf numFmtId="0" fontId="19" fillId="0" borderId="26" xfId="0" applyFont="1" applyBorder="1" applyAlignment="1">
      <alignment vertical="center" wrapText="1"/>
    </xf>
    <xf numFmtId="0" fontId="5" fillId="0" borderId="23" xfId="0" applyFont="1" applyBorder="1" applyAlignment="1">
      <alignment vertical="center" wrapText="1"/>
    </xf>
    <xf numFmtId="0" fontId="9" fillId="0" borderId="17" xfId="0" applyFont="1" applyBorder="1"/>
    <xf numFmtId="0" fontId="4" fillId="0" borderId="17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left" vertical="center" wrapText="1"/>
    </xf>
    <xf numFmtId="0" fontId="7" fillId="0" borderId="17" xfId="0" applyFont="1" applyBorder="1" applyAlignment="1">
      <alignment horizontal="center" vertical="center" wrapText="1"/>
    </xf>
    <xf numFmtId="16" fontId="4" fillId="0" borderId="17" xfId="0" applyNumberFormat="1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left" vertical="center" wrapText="1" readingOrder="1"/>
    </xf>
    <xf numFmtId="0" fontId="21" fillId="3" borderId="17" xfId="0" applyFont="1" applyFill="1" applyBorder="1" applyAlignment="1">
      <alignment horizontal="center" vertical="center" wrapText="1"/>
    </xf>
    <xf numFmtId="0" fontId="23" fillId="0" borderId="17" xfId="0" applyFont="1" applyBorder="1" applyAlignment="1">
      <alignment horizontal="center" vertical="center" wrapText="1"/>
    </xf>
    <xf numFmtId="0" fontId="22" fillId="0" borderId="17" xfId="0" applyFont="1" applyBorder="1" applyAlignment="1">
      <alignment horizontal="left" vertical="center" wrapText="1"/>
    </xf>
    <xf numFmtId="0" fontId="0" fillId="0" borderId="17" xfId="0" applyBorder="1" applyAlignment="1">
      <alignment horizontal="left"/>
    </xf>
    <xf numFmtId="0" fontId="0" fillId="0" borderId="31" xfId="0" applyBorder="1" applyAlignment="1">
      <alignment horizontal="center"/>
    </xf>
    <xf numFmtId="0" fontId="0" fillId="0" borderId="35" xfId="0" applyBorder="1"/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0" fillId="0" borderId="39" xfId="0" applyBorder="1"/>
    <xf numFmtId="0" fontId="9" fillId="4" borderId="32" xfId="0" applyFont="1" applyFill="1" applyBorder="1" applyAlignment="1">
      <alignment horizontal="center" wrapText="1"/>
    </xf>
    <xf numFmtId="0" fontId="9" fillId="4" borderId="33" xfId="0" applyFont="1" applyFill="1" applyBorder="1" applyAlignment="1">
      <alignment wrapText="1"/>
    </xf>
    <xf numFmtId="0" fontId="9" fillId="4" borderId="43" xfId="0" applyFont="1" applyFill="1" applyBorder="1" applyAlignment="1">
      <alignment wrapText="1"/>
    </xf>
    <xf numFmtId="0" fontId="9" fillId="4" borderId="32" xfId="0" applyFont="1" applyFill="1" applyBorder="1" applyAlignment="1">
      <alignment wrapText="1"/>
    </xf>
    <xf numFmtId="0" fontId="9" fillId="4" borderId="34" xfId="0" applyFont="1" applyFill="1" applyBorder="1" applyAlignment="1">
      <alignment wrapText="1"/>
    </xf>
    <xf numFmtId="0" fontId="9" fillId="4" borderId="44" xfId="0" applyFont="1" applyFill="1" applyBorder="1" applyAlignment="1">
      <alignment wrapText="1"/>
    </xf>
    <xf numFmtId="0" fontId="16" fillId="0" borderId="35" xfId="0" applyFont="1" applyBorder="1" applyAlignment="1">
      <alignment horizontal="center"/>
    </xf>
    <xf numFmtId="0" fontId="0" fillId="0" borderId="45" xfId="0" applyBorder="1"/>
    <xf numFmtId="0" fontId="16" fillId="0" borderId="37" xfId="0" applyFont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47" xfId="0" applyBorder="1"/>
    <xf numFmtId="0" fontId="0" fillId="0" borderId="48" xfId="0" applyBorder="1" applyAlignment="1">
      <alignment wrapText="1"/>
    </xf>
    <xf numFmtId="0" fontId="0" fillId="0" borderId="49" xfId="0" applyBorder="1"/>
    <xf numFmtId="0" fontId="0" fillId="0" borderId="38" xfId="0" applyBorder="1" applyAlignment="1">
      <alignment horizontal="left"/>
    </xf>
    <xf numFmtId="0" fontId="0" fillId="0" borderId="50" xfId="0" applyBorder="1"/>
    <xf numFmtId="0" fontId="9" fillId="0" borderId="19" xfId="0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 wrapText="1"/>
    </xf>
    <xf numFmtId="0" fontId="27" fillId="0" borderId="0" xfId="0" applyFont="1" applyAlignment="1">
      <alignment horizontal="left"/>
    </xf>
    <xf numFmtId="0" fontId="27" fillId="0" borderId="0" xfId="0" applyFont="1" applyAlignment="1">
      <alignment wrapText="1"/>
    </xf>
    <xf numFmtId="0" fontId="27" fillId="0" borderId="17" xfId="0" applyFont="1" applyBorder="1" applyAlignment="1">
      <alignment horizontal="left"/>
    </xf>
    <xf numFmtId="0" fontId="29" fillId="0" borderId="17" xfId="0" applyFont="1" applyBorder="1" applyAlignment="1">
      <alignment horizontal="left" vertical="center" wrapText="1"/>
    </xf>
    <xf numFmtId="0" fontId="30" fillId="0" borderId="17" xfId="0" applyFont="1" applyBorder="1" applyAlignment="1">
      <alignment horizontal="left" vertical="center" wrapText="1"/>
    </xf>
    <xf numFmtId="0" fontId="29" fillId="0" borderId="17" xfId="0" applyFont="1" applyBorder="1" applyAlignment="1">
      <alignment horizontal="left" vertical="center" wrapText="1" readingOrder="1"/>
    </xf>
    <xf numFmtId="0" fontId="34" fillId="0" borderId="17" xfId="0" applyFont="1" applyBorder="1" applyAlignment="1">
      <alignment horizontal="left"/>
    </xf>
    <xf numFmtId="0" fontId="31" fillId="0" borderId="17" xfId="0" applyFont="1" applyBorder="1" applyAlignment="1">
      <alignment horizontal="left" vertical="center" wrapText="1"/>
    </xf>
    <xf numFmtId="0" fontId="34" fillId="0" borderId="17" xfId="0" applyFont="1" applyBorder="1" applyAlignment="1">
      <alignment wrapText="1"/>
    </xf>
    <xf numFmtId="0" fontId="33" fillId="0" borderId="17" xfId="0" applyFont="1" applyBorder="1" applyAlignment="1">
      <alignment horizontal="left"/>
    </xf>
    <xf numFmtId="0" fontId="29" fillId="0" borderId="17" xfId="0" applyFont="1" applyBorder="1" applyAlignment="1">
      <alignment vertical="center" wrapText="1"/>
    </xf>
    <xf numFmtId="0" fontId="29" fillId="0" borderId="17" xfId="0" applyFont="1" applyBorder="1" applyAlignment="1">
      <alignment vertical="center" wrapText="1" readingOrder="1"/>
    </xf>
    <xf numFmtId="0" fontId="27" fillId="0" borderId="17" xfId="0" applyFont="1" applyBorder="1" applyAlignment="1">
      <alignment horizontal="left" vertical="center"/>
    </xf>
    <xf numFmtId="0" fontId="33" fillId="6" borderId="17" xfId="0" applyFont="1" applyFill="1" applyBorder="1" applyAlignment="1">
      <alignment horizontal="left"/>
    </xf>
    <xf numFmtId="0" fontId="34" fillId="0" borderId="17" xfId="0" applyFont="1" applyBorder="1" applyAlignment="1">
      <alignment horizontal="left" wrapText="1"/>
    </xf>
    <xf numFmtId="0" fontId="33" fillId="4" borderId="17" xfId="0" applyFont="1" applyFill="1" applyBorder="1" applyAlignment="1">
      <alignment horizontal="left"/>
    </xf>
    <xf numFmtId="0" fontId="36" fillId="0" borderId="17" xfId="0" applyFont="1" applyBorder="1" applyAlignment="1">
      <alignment horizontal="left" vertical="center" wrapText="1"/>
    </xf>
    <xf numFmtId="0" fontId="34" fillId="6" borderId="17" xfId="0" applyFont="1" applyFill="1" applyBorder="1" applyAlignment="1">
      <alignment horizontal="left"/>
    </xf>
    <xf numFmtId="0" fontId="29" fillId="6" borderId="17" xfId="0" applyFont="1" applyFill="1" applyBorder="1" applyAlignment="1">
      <alignment vertical="center" wrapText="1"/>
    </xf>
    <xf numFmtId="0" fontId="29" fillId="5" borderId="17" xfId="0" applyFont="1" applyFill="1" applyBorder="1" applyAlignment="1">
      <alignment vertical="center" wrapText="1"/>
    </xf>
    <xf numFmtId="0" fontId="27" fillId="0" borderId="17" xfId="0" applyFont="1" applyBorder="1" applyAlignment="1">
      <alignment vertical="center" wrapText="1"/>
    </xf>
    <xf numFmtId="0" fontId="27" fillId="0" borderId="18" xfId="0" applyFont="1" applyBorder="1" applyAlignment="1">
      <alignment vertical="center" wrapText="1"/>
    </xf>
    <xf numFmtId="0" fontId="29" fillId="6" borderId="18" xfId="0" applyFont="1" applyFill="1" applyBorder="1" applyAlignment="1">
      <alignment vertical="center" wrapText="1"/>
    </xf>
    <xf numFmtId="0" fontId="33" fillId="6" borderId="17" xfId="0" applyFont="1" applyFill="1" applyBorder="1" applyAlignment="1">
      <alignment wrapText="1"/>
    </xf>
    <xf numFmtId="0" fontId="33" fillId="5" borderId="17" xfId="0" applyFont="1" applyFill="1" applyBorder="1" applyAlignment="1">
      <alignment vertical="center" wrapText="1"/>
    </xf>
    <xf numFmtId="0" fontId="33" fillId="6" borderId="17" xfId="0" applyFont="1" applyFill="1" applyBorder="1" applyAlignment="1">
      <alignment vertical="center" wrapText="1"/>
    </xf>
    <xf numFmtId="0" fontId="34" fillId="6" borderId="17" xfId="0" applyFont="1" applyFill="1" applyBorder="1" applyAlignment="1">
      <alignment vertical="center" wrapText="1"/>
    </xf>
    <xf numFmtId="0" fontId="33" fillId="4" borderId="17" xfId="0" applyFont="1" applyFill="1" applyBorder="1" applyAlignment="1">
      <alignment vertical="center" wrapText="1"/>
    </xf>
    <xf numFmtId="0" fontId="34" fillId="6" borderId="17" xfId="0" applyFont="1" applyFill="1" applyBorder="1" applyAlignment="1">
      <alignment wrapText="1"/>
    </xf>
    <xf numFmtId="0" fontId="33" fillId="6" borderId="17" xfId="0" applyFont="1" applyFill="1" applyBorder="1"/>
    <xf numFmtId="0" fontId="33" fillId="6" borderId="17" xfId="0" applyFont="1" applyFill="1" applyBorder="1" applyAlignment="1">
      <alignment vertical="center"/>
    </xf>
    <xf numFmtId="0" fontId="27" fillId="0" borderId="17" xfId="0" applyFont="1" applyBorder="1" applyAlignment="1">
      <alignment vertical="center"/>
    </xf>
    <xf numFmtId="0" fontId="33" fillId="4" borderId="17" xfId="0" applyFont="1" applyFill="1" applyBorder="1" applyAlignment="1">
      <alignment vertical="center"/>
    </xf>
    <xf numFmtId="0" fontId="33" fillId="5" borderId="17" xfId="0" applyFont="1" applyFill="1" applyBorder="1" applyAlignment="1">
      <alignment vertical="center"/>
    </xf>
    <xf numFmtId="0" fontId="27" fillId="0" borderId="18" xfId="0" applyFont="1" applyBorder="1" applyAlignment="1">
      <alignment vertical="center"/>
    </xf>
    <xf numFmtId="0" fontId="35" fillId="0" borderId="52" xfId="0" applyFont="1" applyBorder="1" applyAlignment="1">
      <alignment horizontal="left" vertical="center"/>
    </xf>
    <xf numFmtId="0" fontId="35" fillId="0" borderId="55" xfId="0" applyFont="1" applyBorder="1" applyAlignment="1">
      <alignment vertical="center"/>
    </xf>
    <xf numFmtId="0" fontId="30" fillId="0" borderId="52" xfId="0" applyFont="1" applyBorder="1" applyAlignment="1">
      <alignment horizontal="left" vertical="center" wrapText="1"/>
    </xf>
    <xf numFmtId="0" fontId="30" fillId="6" borderId="55" xfId="0" applyFont="1" applyFill="1" applyBorder="1" applyAlignment="1">
      <alignment vertical="center" wrapText="1"/>
    </xf>
    <xf numFmtId="0" fontId="30" fillId="5" borderId="52" xfId="0" applyFont="1" applyFill="1" applyBorder="1" applyAlignment="1">
      <alignment vertical="center" wrapText="1"/>
    </xf>
    <xf numFmtId="0" fontId="30" fillId="6" borderId="52" xfId="0" applyFont="1" applyFill="1" applyBorder="1" applyAlignment="1">
      <alignment vertical="center" wrapText="1"/>
    </xf>
    <xf numFmtId="0" fontId="32" fillId="6" borderId="52" xfId="0" applyFont="1" applyFill="1" applyBorder="1" applyAlignment="1">
      <alignment vertical="center"/>
    </xf>
    <xf numFmtId="0" fontId="32" fillId="5" borderId="52" xfId="0" applyFont="1" applyFill="1" applyBorder="1" applyAlignment="1">
      <alignment vertical="center"/>
    </xf>
    <xf numFmtId="0" fontId="32" fillId="0" borderId="52" xfId="0" applyFont="1" applyBorder="1" applyAlignment="1">
      <alignment horizontal="left" vertical="center"/>
    </xf>
    <xf numFmtId="0" fontId="32" fillId="4" borderId="52" xfId="0" applyFont="1" applyFill="1" applyBorder="1" applyAlignment="1">
      <alignment vertical="center"/>
    </xf>
    <xf numFmtId="0" fontId="32" fillId="0" borderId="55" xfId="0" applyFont="1" applyBorder="1" applyAlignment="1">
      <alignment vertical="center"/>
    </xf>
    <xf numFmtId="0" fontId="32" fillId="0" borderId="53" xfId="0" applyFont="1" applyBorder="1" applyAlignment="1">
      <alignment vertical="center"/>
    </xf>
    <xf numFmtId="0" fontId="35" fillId="0" borderId="52" xfId="0" applyFont="1" applyBorder="1" applyAlignment="1">
      <alignment horizontal="left"/>
    </xf>
    <xf numFmtId="0" fontId="35" fillId="0" borderId="55" xfId="0" applyFont="1" applyBorder="1"/>
    <xf numFmtId="0" fontId="28" fillId="2" borderId="0" xfId="0" applyFont="1" applyFill="1" applyAlignment="1">
      <alignment horizontal="left" vertical="top" wrapText="1"/>
    </xf>
    <xf numFmtId="0" fontId="28" fillId="2" borderId="54" xfId="0" applyFont="1" applyFill="1" applyBorder="1" applyAlignment="1">
      <alignment vertical="top" wrapText="1"/>
    </xf>
    <xf numFmtId="0" fontId="28" fillId="2" borderId="54" xfId="0" applyFont="1" applyFill="1" applyBorder="1" applyAlignment="1">
      <alignment horizontal="left" vertical="top" wrapText="1"/>
    </xf>
    <xf numFmtId="0" fontId="35" fillId="0" borderId="55" xfId="0" applyFont="1" applyBorder="1" applyAlignment="1">
      <alignment horizontal="left"/>
    </xf>
    <xf numFmtId="0" fontId="34" fillId="0" borderId="18" xfId="0" applyFont="1" applyBorder="1" applyAlignment="1">
      <alignment wrapText="1"/>
    </xf>
    <xf numFmtId="0" fontId="34" fillId="0" borderId="18" xfId="0" applyFont="1" applyBorder="1" applyAlignment="1">
      <alignment horizontal="left"/>
    </xf>
    <xf numFmtId="0" fontId="33" fillId="0" borderId="18" xfId="0" applyFont="1" applyBorder="1" applyAlignment="1">
      <alignment horizontal="left"/>
    </xf>
    <xf numFmtId="0" fontId="34" fillId="0" borderId="18" xfId="0" applyFont="1" applyBorder="1" applyAlignment="1">
      <alignment horizontal="left" wrapText="1"/>
    </xf>
    <xf numFmtId="0" fontId="34" fillId="0" borderId="28" xfId="0" applyFont="1" applyBorder="1" applyAlignment="1">
      <alignment horizontal="left"/>
    </xf>
    <xf numFmtId="0" fontId="28" fillId="2" borderId="56" xfId="0" applyFont="1" applyFill="1" applyBorder="1" applyAlignment="1">
      <alignment horizontal="left" vertical="top" wrapText="1"/>
    </xf>
    <xf numFmtId="0" fontId="29" fillId="0" borderId="57" xfId="0" applyFont="1" applyBorder="1" applyAlignment="1">
      <alignment horizontal="left" vertical="center" wrapText="1"/>
    </xf>
    <xf numFmtId="0" fontId="34" fillId="0" borderId="57" xfId="0" applyFont="1" applyBorder="1" applyAlignment="1">
      <alignment horizontal="left"/>
    </xf>
    <xf numFmtId="0" fontId="29" fillId="6" borderId="28" xfId="0" applyFont="1" applyFill="1" applyBorder="1" applyAlignment="1">
      <alignment vertical="center" wrapText="1"/>
    </xf>
    <xf numFmtId="0" fontId="33" fillId="6" borderId="18" xfId="0" applyFont="1" applyFill="1" applyBorder="1" applyAlignment="1">
      <alignment vertical="center"/>
    </xf>
    <xf numFmtId="0" fontId="33" fillId="6" borderId="28" xfId="0" applyFont="1" applyFill="1" applyBorder="1" applyAlignment="1">
      <alignment vertical="center"/>
    </xf>
    <xf numFmtId="0" fontId="33" fillId="6" borderId="18" xfId="0" applyFont="1" applyFill="1" applyBorder="1"/>
    <xf numFmtId="0" fontId="33" fillId="6" borderId="28" xfId="0" applyFont="1" applyFill="1" applyBorder="1"/>
    <xf numFmtId="0" fontId="33" fillId="4" borderId="18" xfId="0" applyFont="1" applyFill="1" applyBorder="1" applyAlignment="1">
      <alignment vertical="center"/>
    </xf>
    <xf numFmtId="0" fontId="33" fillId="4" borderId="28" xfId="0" applyFont="1" applyFill="1" applyBorder="1" applyAlignment="1">
      <alignment vertical="center"/>
    </xf>
    <xf numFmtId="0" fontId="27" fillId="0" borderId="28" xfId="0" applyFont="1" applyBorder="1" applyAlignment="1">
      <alignment vertical="center"/>
    </xf>
    <xf numFmtId="0" fontId="29" fillId="5" borderId="18" xfId="0" applyFont="1" applyFill="1" applyBorder="1" applyAlignment="1">
      <alignment vertical="center" wrapText="1"/>
    </xf>
    <xf numFmtId="0" fontId="29" fillId="5" borderId="20" xfId="0" applyFont="1" applyFill="1" applyBorder="1" applyAlignment="1">
      <alignment vertical="center" wrapText="1"/>
    </xf>
    <xf numFmtId="0" fontId="29" fillId="5" borderId="28" xfId="0" applyFont="1" applyFill="1" applyBorder="1" applyAlignment="1">
      <alignment vertical="center" wrapText="1"/>
    </xf>
    <xf numFmtId="0" fontId="33" fillId="5" borderId="18" xfId="0" applyFont="1" applyFill="1" applyBorder="1" applyAlignment="1">
      <alignment vertical="center"/>
    </xf>
    <xf numFmtId="0" fontId="33" fillId="5" borderId="28" xfId="0" applyFont="1" applyFill="1" applyBorder="1" applyAlignment="1">
      <alignment vertical="center"/>
    </xf>
    <xf numFmtId="0" fontId="33" fillId="6" borderId="20" xfId="0" applyFont="1" applyFill="1" applyBorder="1" applyAlignment="1">
      <alignment vertical="center"/>
    </xf>
    <xf numFmtId="0" fontId="0" fillId="0" borderId="0" xfId="0" applyAlignment="1">
      <alignment horizontal="right"/>
    </xf>
    <xf numFmtId="0" fontId="24" fillId="0" borderId="40" xfId="0" applyFont="1" applyBorder="1" applyAlignment="1">
      <alignment horizontal="center"/>
    </xf>
    <xf numFmtId="0" fontId="24" fillId="0" borderId="41" xfId="0" applyFont="1" applyBorder="1" applyAlignment="1">
      <alignment horizontal="center"/>
    </xf>
    <xf numFmtId="0" fontId="24" fillId="0" borderId="42" xfId="0" applyFont="1" applyBorder="1" applyAlignment="1">
      <alignment horizontal="center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 readingOrder="1"/>
    </xf>
    <xf numFmtId="0" fontId="4" fillId="0" borderId="8" xfId="0" applyFont="1" applyBorder="1" applyAlignment="1">
      <alignment horizontal="center" vertical="center" wrapText="1" readingOrder="1"/>
    </xf>
    <xf numFmtId="0" fontId="4" fillId="0" borderId="9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16" fontId="4" fillId="0" borderId="7" xfId="0" applyNumberFormat="1" applyFont="1" applyBorder="1" applyAlignment="1">
      <alignment horizontal="center" vertical="center" wrapText="1"/>
    </xf>
    <xf numFmtId="16" fontId="4" fillId="0" borderId="8" xfId="0" applyNumberFormat="1" applyFont="1" applyBorder="1" applyAlignment="1">
      <alignment horizontal="center" vertical="center" wrapText="1"/>
    </xf>
    <xf numFmtId="16" fontId="4" fillId="0" borderId="9" xfId="0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14" fillId="0" borderId="17" xfId="0" applyFont="1" applyBorder="1"/>
    <xf numFmtId="0" fontId="14" fillId="0" borderId="17" xfId="0" applyFont="1" applyBorder="1" applyAlignment="1">
      <alignment horizontal="left"/>
    </xf>
    <xf numFmtId="0" fontId="14" fillId="0" borderId="17" xfId="0" applyFont="1" applyBorder="1" applyAlignment="1">
      <alignment horizontal="center"/>
    </xf>
    <xf numFmtId="0" fontId="25" fillId="0" borderId="0" xfId="0" applyFont="1" applyAlignment="1">
      <alignment horizontal="center"/>
    </xf>
    <xf numFmtId="0" fontId="25" fillId="0" borderId="19" xfId="0" applyFont="1" applyBorder="1" applyAlignment="1">
      <alignment horizontal="center"/>
    </xf>
    <xf numFmtId="0" fontId="26" fillId="0" borderId="31" xfId="0" applyFont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0" fontId="26" fillId="0" borderId="52" xfId="0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7" fillId="0" borderId="19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39" fillId="0" borderId="0" xfId="0" applyFont="1"/>
    <xf numFmtId="0" fontId="40" fillId="7" borderId="0" xfId="0" applyFont="1" applyFill="1" applyAlignment="1">
      <alignment vertical="center"/>
    </xf>
    <xf numFmtId="0" fontId="41" fillId="0" borderId="0" xfId="0" applyFont="1"/>
    <xf numFmtId="0" fontId="27" fillId="0" borderId="0" xfId="0" applyFont="1"/>
    <xf numFmtId="0" fontId="38" fillId="7" borderId="0" xfId="0" applyFont="1" applyFill="1"/>
    <xf numFmtId="0" fontId="42" fillId="0" borderId="0" xfId="0" applyFont="1"/>
  </cellXfs>
  <cellStyles count="2">
    <cellStyle name="Normal" xfId="0" builtinId="0"/>
    <cellStyle name="Normal 2" xfId="1" xr:uid="{C94F15C6-6BAC-B34B-8D09-8CB36DADC56F}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ptos"/>
        <family val="2"/>
        <scheme val="none"/>
      </font>
      <fill>
        <patternFill patternType="solid">
          <fgColor indexed="64"/>
          <bgColor rgb="FF808080"/>
        </patternFill>
      </fill>
      <alignment horizontal="left" vertical="top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8577A"/>
      <color rgb="FFFCE2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Flash</a:t>
            </a:r>
            <a:r>
              <a:rPr lang="en-GB" baseline="0"/>
              <a:t> Capacity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'Summary Flash'!$G$5</c:f>
              <c:strCache>
                <c:ptCount val="1"/>
                <c:pt idx="0">
                  <c:v>Total time to complete all the test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'Summary Flash'!$D$6:$D$10</c:f>
              <c:strCache>
                <c:ptCount val="5"/>
                <c:pt idx="0">
                  <c:v>Heat Soak </c:v>
                </c:pt>
                <c:pt idx="1">
                  <c:v>UV</c:v>
                </c:pt>
                <c:pt idx="2">
                  <c:v>Salt Spray</c:v>
                </c:pt>
                <c:pt idx="3">
                  <c:v>UTM</c:v>
                </c:pt>
                <c:pt idx="4">
                  <c:v>Thermal Cycling </c:v>
                </c:pt>
              </c:strCache>
            </c:strRef>
          </c:cat>
          <c:val>
            <c:numRef>
              <c:f>'Summary Flash'!$G$6:$G$10</c:f>
              <c:numCache>
                <c:formatCode>General</c:formatCode>
                <c:ptCount val="5"/>
                <c:pt idx="0">
                  <c:v>0</c:v>
                </c:pt>
                <c:pt idx="1">
                  <c:v>900</c:v>
                </c:pt>
                <c:pt idx="2">
                  <c:v>312</c:v>
                </c:pt>
                <c:pt idx="3">
                  <c:v>0</c:v>
                </c:pt>
                <c:pt idx="4">
                  <c:v>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D1-E343-AD68-0080DA7DC2C1}"/>
            </c:ext>
          </c:extLst>
        </c:ser>
        <c:ser>
          <c:idx val="1"/>
          <c:order val="1"/>
          <c:tx>
            <c:strRef>
              <c:f>'Summary Flash'!$H$5</c:f>
              <c:strCache>
                <c:ptCount val="1"/>
                <c:pt idx="0">
                  <c:v>GAP in hrs/ month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'Summary Flash'!$D$6:$D$10</c:f>
              <c:strCache>
                <c:ptCount val="5"/>
                <c:pt idx="0">
                  <c:v>Heat Soak </c:v>
                </c:pt>
                <c:pt idx="1">
                  <c:v>UV</c:v>
                </c:pt>
                <c:pt idx="2">
                  <c:v>Salt Spray</c:v>
                </c:pt>
                <c:pt idx="3">
                  <c:v>UTM</c:v>
                </c:pt>
                <c:pt idx="4">
                  <c:v>Thermal Cycling </c:v>
                </c:pt>
              </c:strCache>
            </c:strRef>
          </c:cat>
          <c:val>
            <c:numRef>
              <c:f>'Summary Flash'!$H$6:$H$10</c:f>
              <c:numCache>
                <c:formatCode>General</c:formatCode>
                <c:ptCount val="5"/>
                <c:pt idx="0">
                  <c:v>0</c:v>
                </c:pt>
                <c:pt idx="1">
                  <c:v>-180</c:v>
                </c:pt>
                <c:pt idx="2">
                  <c:v>408</c:v>
                </c:pt>
                <c:pt idx="3">
                  <c:v>0</c:v>
                </c:pt>
                <c:pt idx="4">
                  <c:v>610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D1-E343-AD68-0080DA7DC2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3155120"/>
        <c:axId val="779897632"/>
      </c:barChart>
      <c:catAx>
        <c:axId val="333155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9897632"/>
        <c:crosses val="autoZero"/>
        <c:auto val="1"/>
        <c:lblAlgn val="ctr"/>
        <c:lblOffset val="100"/>
        <c:noMultiLvlLbl val="0"/>
      </c:catAx>
      <c:valAx>
        <c:axId val="779897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155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Hulk</a:t>
            </a:r>
            <a:r>
              <a:rPr lang="en-GB" baseline="0"/>
              <a:t> ORT Capacity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'Summary Hulk'!$G$5</c:f>
              <c:strCache>
                <c:ptCount val="1"/>
                <c:pt idx="0">
                  <c:v>Total time to complete all the test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'Summary Hulk'!$D$6:$D$14</c:f>
              <c:strCache>
                <c:ptCount val="9"/>
                <c:pt idx="0">
                  <c:v>Heat Soak </c:v>
                </c:pt>
                <c:pt idx="1">
                  <c:v>UV</c:v>
                </c:pt>
                <c:pt idx="2">
                  <c:v>Salt Spray</c:v>
                </c:pt>
                <c:pt idx="3">
                  <c:v>UTM</c:v>
                </c:pt>
                <c:pt idx="4">
                  <c:v>Thermal Cycling </c:v>
                </c:pt>
                <c:pt idx="5">
                  <c:v>Ocean   Immersion </c:v>
                </c:pt>
                <c:pt idx="6">
                  <c:v>Pool   Immersion</c:v>
                </c:pt>
                <c:pt idx="7">
                  <c:v>Tap   Immersion</c:v>
                </c:pt>
                <c:pt idx="8">
                  <c:v>ASI</c:v>
                </c:pt>
              </c:strCache>
            </c:strRef>
          </c:cat>
          <c:val>
            <c:numRef>
              <c:f>'Summary Hulk'!$G$6:$G$14</c:f>
              <c:numCache>
                <c:formatCode>General</c:formatCode>
                <c:ptCount val="9"/>
                <c:pt idx="0">
                  <c:v>0</c:v>
                </c:pt>
                <c:pt idx="1">
                  <c:v>640</c:v>
                </c:pt>
                <c:pt idx="2">
                  <c:v>20</c:v>
                </c:pt>
                <c:pt idx="3">
                  <c:v>20</c:v>
                </c:pt>
                <c:pt idx="4">
                  <c:v>110</c:v>
                </c:pt>
                <c:pt idx="5">
                  <c:v>432</c:v>
                </c:pt>
                <c:pt idx="6">
                  <c:v>432</c:v>
                </c:pt>
                <c:pt idx="7">
                  <c:v>432</c:v>
                </c:pt>
                <c:pt idx="8">
                  <c:v>216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40-BA47-A62D-C61353787630}"/>
            </c:ext>
          </c:extLst>
        </c:ser>
        <c:ser>
          <c:idx val="1"/>
          <c:order val="1"/>
          <c:tx>
            <c:strRef>
              <c:f>'Summary Hulk'!$H$5</c:f>
              <c:strCache>
                <c:ptCount val="1"/>
                <c:pt idx="0">
                  <c:v>GAP in hrs/ month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'Summary Hulk'!$D$6:$D$14</c:f>
              <c:strCache>
                <c:ptCount val="9"/>
                <c:pt idx="0">
                  <c:v>Heat Soak </c:v>
                </c:pt>
                <c:pt idx="1">
                  <c:v>UV</c:v>
                </c:pt>
                <c:pt idx="2">
                  <c:v>Salt Spray</c:v>
                </c:pt>
                <c:pt idx="3">
                  <c:v>UTM</c:v>
                </c:pt>
                <c:pt idx="4">
                  <c:v>Thermal Cycling </c:v>
                </c:pt>
                <c:pt idx="5">
                  <c:v>Ocean   Immersion </c:v>
                </c:pt>
                <c:pt idx="6">
                  <c:v>Pool   Immersion</c:v>
                </c:pt>
                <c:pt idx="7">
                  <c:v>Tap   Immersion</c:v>
                </c:pt>
                <c:pt idx="8">
                  <c:v>ASI</c:v>
                </c:pt>
              </c:strCache>
            </c:strRef>
          </c:cat>
          <c:val>
            <c:numRef>
              <c:f>'Summary Hulk'!$H$6:$H$14</c:f>
              <c:numCache>
                <c:formatCode>General</c:formatCode>
                <c:ptCount val="9"/>
                <c:pt idx="0">
                  <c:v>0</c:v>
                </c:pt>
                <c:pt idx="1">
                  <c:v>80</c:v>
                </c:pt>
                <c:pt idx="2">
                  <c:v>700</c:v>
                </c:pt>
                <c:pt idx="3">
                  <c:v>700</c:v>
                </c:pt>
                <c:pt idx="4">
                  <c:v>610</c:v>
                </c:pt>
                <c:pt idx="5">
                  <c:v>288</c:v>
                </c:pt>
                <c:pt idx="6">
                  <c:v>288</c:v>
                </c:pt>
                <c:pt idx="7">
                  <c:v>288</c:v>
                </c:pt>
                <c:pt idx="8">
                  <c:v>504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40-BA47-A62D-C613537876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2768832"/>
        <c:axId val="779655728"/>
      </c:barChart>
      <c:catAx>
        <c:axId val="332768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9655728"/>
        <c:crosses val="autoZero"/>
        <c:auto val="1"/>
        <c:lblAlgn val="ctr"/>
        <c:lblOffset val="100"/>
        <c:noMultiLvlLbl val="0"/>
      </c:catAx>
      <c:valAx>
        <c:axId val="779655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2768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454524</xdr:colOff>
      <xdr:row>10</xdr:row>
      <xdr:rowOff>165769</xdr:rowOff>
    </xdr:from>
    <xdr:to>
      <xdr:col>10</xdr:col>
      <xdr:colOff>1147455</xdr:colOff>
      <xdr:row>37</xdr:row>
      <xdr:rowOff>66842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7C204F-A848-06EF-612D-11B1A8EF35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1368035</xdr:colOff>
      <xdr:row>15</xdr:row>
      <xdr:rowOff>132346</xdr:rowOff>
    </xdr:from>
    <xdr:to>
      <xdr:col>9</xdr:col>
      <xdr:colOff>1091755</xdr:colOff>
      <xdr:row>32</xdr:row>
      <xdr:rowOff>66841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CF2654B-A335-0AC4-3650-B633C57E71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C0E37ED-37BE-4147-ACB6-5BC86EA6C88A}" name="Table2" displayName="Table2" ref="A1:K152" totalsRowShown="0" headerRowDxfId="13" dataDxfId="12" tableBorderDxfId="11">
  <autoFilter ref="A1:K152" xr:uid="{0C0E37ED-37BE-4147-ACB6-5BC86EA6C88A}"/>
  <tableColumns count="11">
    <tableColumn id="1" xr3:uid="{8BD9936B-C707-424D-9DA5-8B7DD3242A4C}" name="Processes Stage" dataDxfId="10"/>
    <tableColumn id="2" xr3:uid="{99FE2697-00C8-4335-B814-2304CEA32F89}" name="Test Name" dataDxfId="9"/>
    <tableColumn id="3" xr3:uid="{94C64E3B-92B3-4545-B236-96D927DE408F}" name="Test Condition" dataDxfId="8"/>
    <tableColumn id="9" xr3:uid="{FC45203D-86D0-5E45-BDF9-3A09777B21AB}" name="Checkpoints" dataDxfId="7"/>
    <tableColumn id="4" xr3:uid="{BCE6EADC-B4C5-46C4-80A8-E7EE15D3EFC4}" name="Qty" dataDxfId="6"/>
    <tableColumn id="5" xr3:uid="{BEB57711-1B12-4BB4-9854-0913E61EC454}" name="Specification" dataDxfId="5"/>
    <tableColumn id="6" xr3:uid="{D9667F65-CD26-46B4-9E1E-32835E7551AE}" name="Machine / Equipment " dataDxfId="4"/>
    <tableColumn id="7" xr3:uid="{27C8374C-812C-47D1-9EE0-5969CF5C6CA4}" name="Machine / Equipment-2" dataDxfId="3"/>
    <tableColumn id="8" xr3:uid="{136C9CCB-A923-400E-87BE-1FD8B39905C3}" name="Time" dataDxfId="2"/>
    <tableColumn id="11" xr3:uid="{A0337BBB-430F-4F93-B949-195E12ABA781}" name="Unit" dataDxfId="1"/>
    <tableColumn id="10" xr3:uid="{E3BF91A3-F225-472F-92E6-6E6ECFE40DF6}" name="Loca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5F94A-49F1-DC4F-932F-B11B37642E07}">
  <sheetPr>
    <tabColor theme="4" tint="0.79998168889431442"/>
  </sheetPr>
  <dimension ref="B2:O14"/>
  <sheetViews>
    <sheetView topLeftCell="C3" zoomScale="114" workbookViewId="0">
      <selection activeCell="G10" sqref="G10"/>
    </sheetView>
  </sheetViews>
  <sheetFormatPr defaultColWidth="11" defaultRowHeight="15.5"/>
  <cols>
    <col min="3" max="3" width="21.4609375" customWidth="1"/>
    <col min="4" max="4" width="19.07421875" customWidth="1"/>
    <col min="5" max="5" width="17.61328125" customWidth="1"/>
    <col min="6" max="6" width="12.07421875" customWidth="1"/>
    <col min="7" max="7" width="15.4609375" customWidth="1"/>
    <col min="8" max="8" width="15.4609375" bestFit="1" customWidth="1"/>
    <col min="9" max="13" width="15.4609375" customWidth="1"/>
  </cols>
  <sheetData>
    <row r="2" spans="2:15">
      <c r="B2" t="s">
        <v>0</v>
      </c>
    </row>
    <row r="3" spans="2:15" ht="16" thickBot="1">
      <c r="B3" s="30" t="s">
        <v>1</v>
      </c>
      <c r="D3" s="31"/>
      <c r="F3" s="196" t="s">
        <v>2</v>
      </c>
      <c r="G3" s="196"/>
      <c r="H3">
        <f>24*30</f>
        <v>720</v>
      </c>
    </row>
    <row r="4" spans="2:15" ht="16" thickBot="1">
      <c r="J4" s="197" t="s">
        <v>3</v>
      </c>
      <c r="K4" s="198"/>
      <c r="L4" s="198"/>
      <c r="M4" s="199"/>
    </row>
    <row r="5" spans="2:15" s="28" customFormat="1" ht="62">
      <c r="B5" s="103" t="s">
        <v>4</v>
      </c>
      <c r="C5" s="104" t="s">
        <v>5</v>
      </c>
      <c r="D5" s="104" t="s">
        <v>6</v>
      </c>
      <c r="E5" s="104" t="s">
        <v>7</v>
      </c>
      <c r="F5" s="104" t="s">
        <v>8</v>
      </c>
      <c r="G5" s="104" t="s">
        <v>9</v>
      </c>
      <c r="H5" s="104" t="s">
        <v>10</v>
      </c>
      <c r="I5" s="105" t="s">
        <v>11</v>
      </c>
      <c r="J5" s="106" t="s">
        <v>12</v>
      </c>
      <c r="K5" s="104" t="s">
        <v>13</v>
      </c>
      <c r="L5" s="104" t="s">
        <v>14</v>
      </c>
      <c r="M5" s="107" t="s">
        <v>15</v>
      </c>
      <c r="N5" s="108" t="s">
        <v>16</v>
      </c>
      <c r="O5" s="115"/>
    </row>
    <row r="6" spans="2:15">
      <c r="B6" s="109">
        <v>1</v>
      </c>
      <c r="C6" s="21" t="s">
        <v>17</v>
      </c>
      <c r="D6" s="21" t="s">
        <v>18</v>
      </c>
      <c r="E6" s="96" t="s">
        <v>19</v>
      </c>
      <c r="F6" s="29">
        <v>1</v>
      </c>
      <c r="G6" s="29" t="e">
        <f>#REF!</f>
        <v>#REF!</v>
      </c>
      <c r="H6" s="21" t="e">
        <f>($H$3*F6)-G6</f>
        <v>#REF!</v>
      </c>
      <c r="I6" s="97">
        <v>3</v>
      </c>
      <c r="J6" s="98"/>
      <c r="K6" s="21" t="s">
        <v>20</v>
      </c>
      <c r="L6" s="21"/>
      <c r="M6" s="99"/>
      <c r="N6" s="110"/>
      <c r="O6" s="116"/>
    </row>
    <row r="7" spans="2:15">
      <c r="B7" s="109">
        <v>2</v>
      </c>
      <c r="C7" s="21" t="s">
        <v>21</v>
      </c>
      <c r="D7" s="21" t="s">
        <v>22</v>
      </c>
      <c r="E7" s="96" t="s">
        <v>23</v>
      </c>
      <c r="F7" s="29">
        <v>1</v>
      </c>
      <c r="G7" s="29">
        <v>900</v>
      </c>
      <c r="H7" s="21">
        <f>($H$3*F7)-G7</f>
        <v>-180</v>
      </c>
      <c r="I7" s="97">
        <v>1</v>
      </c>
      <c r="J7" s="98"/>
      <c r="K7" s="21" t="s">
        <v>20</v>
      </c>
      <c r="L7" s="21"/>
      <c r="M7" s="99"/>
      <c r="N7" s="110"/>
      <c r="O7" s="116"/>
    </row>
    <row r="8" spans="2:15">
      <c r="B8" s="109">
        <v>3</v>
      </c>
      <c r="C8" s="21" t="s">
        <v>24</v>
      </c>
      <c r="D8" s="21" t="s">
        <v>24</v>
      </c>
      <c r="E8" s="96" t="s">
        <v>23</v>
      </c>
      <c r="F8" s="29">
        <v>1</v>
      </c>
      <c r="G8" s="29">
        <v>312</v>
      </c>
      <c r="H8" s="21">
        <f>($H$3*F8)-G8</f>
        <v>408</v>
      </c>
      <c r="I8" s="97">
        <v>0</v>
      </c>
      <c r="J8" s="98"/>
      <c r="L8" s="21"/>
      <c r="M8" s="99"/>
      <c r="N8" s="110"/>
      <c r="O8" s="116"/>
    </row>
    <row r="9" spans="2:15">
      <c r="B9" s="109">
        <v>4</v>
      </c>
      <c r="C9" s="21" t="s">
        <v>25</v>
      </c>
      <c r="D9" s="21" t="s">
        <v>26</v>
      </c>
      <c r="E9" s="96" t="s">
        <v>27</v>
      </c>
      <c r="F9" s="29">
        <v>1</v>
      </c>
      <c r="G9" s="29" t="e">
        <f>#REF!</f>
        <v>#REF!</v>
      </c>
      <c r="H9" s="21" t="e">
        <f>($H$3*F9)-G9</f>
        <v>#REF!</v>
      </c>
      <c r="I9" s="97">
        <v>1</v>
      </c>
      <c r="J9" s="98"/>
      <c r="K9" s="21" t="s">
        <v>20</v>
      </c>
      <c r="L9" s="21"/>
      <c r="M9" s="99"/>
      <c r="N9" s="110"/>
      <c r="O9" s="116"/>
    </row>
    <row r="10" spans="2:15" ht="16" thickBot="1">
      <c r="B10" s="111">
        <v>5</v>
      </c>
      <c r="C10" s="101" t="s">
        <v>28</v>
      </c>
      <c r="D10" s="101" t="s">
        <v>29</v>
      </c>
      <c r="E10" s="117" t="s">
        <v>19</v>
      </c>
      <c r="F10" s="112">
        <v>1</v>
      </c>
      <c r="G10" s="112">
        <v>110</v>
      </c>
      <c r="H10" s="101">
        <f>($H$3*F10)-G10</f>
        <v>610</v>
      </c>
      <c r="I10" s="113">
        <v>0</v>
      </c>
      <c r="J10" s="100"/>
      <c r="K10" s="101"/>
      <c r="L10" s="101"/>
      <c r="M10" s="102"/>
      <c r="N10" s="114"/>
      <c r="O10" s="118"/>
    </row>
    <row r="13" spans="2:15">
      <c r="B13" s="31"/>
    </row>
    <row r="14" spans="2:15">
      <c r="B14" s="30"/>
    </row>
  </sheetData>
  <mergeCells count="2">
    <mergeCell ref="F3:G3"/>
    <mergeCell ref="J4:M4"/>
  </mergeCells>
  <conditionalFormatting sqref="H6:M7 H8:J8 L8:M8 H9:M10">
    <cfRule type="cellIs" dxfId="16" priority="1" operator="between">
      <formula>-1</formula>
      <formula>-9999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5804A-55A9-5E47-989E-F6BABC2A40B6}">
  <sheetPr>
    <tabColor theme="4" tint="0.79998168889431442"/>
  </sheetPr>
  <dimension ref="B2:O15"/>
  <sheetViews>
    <sheetView topLeftCell="A5" zoomScale="114" workbookViewId="0">
      <selection activeCell="A27" sqref="A27"/>
    </sheetView>
  </sheetViews>
  <sheetFormatPr defaultColWidth="11" defaultRowHeight="15.5"/>
  <cols>
    <col min="3" max="3" width="21.4609375" customWidth="1"/>
    <col min="4" max="4" width="19.07421875" customWidth="1"/>
    <col min="5" max="5" width="17.61328125" customWidth="1"/>
    <col min="6" max="6" width="12.07421875" customWidth="1"/>
    <col min="7" max="7" width="15.4609375" customWidth="1"/>
    <col min="8" max="8" width="15.4609375" bestFit="1" customWidth="1"/>
    <col min="9" max="13" width="15.4609375" customWidth="1"/>
  </cols>
  <sheetData>
    <row r="2" spans="2:15">
      <c r="B2" t="s">
        <v>30</v>
      </c>
    </row>
    <row r="3" spans="2:15" ht="16" thickBot="1">
      <c r="B3" s="30" t="s">
        <v>1</v>
      </c>
      <c r="D3" s="31"/>
      <c r="F3" s="196" t="s">
        <v>2</v>
      </c>
      <c r="G3" s="196"/>
      <c r="H3">
        <f>24*30</f>
        <v>720</v>
      </c>
    </row>
    <row r="4" spans="2:15" ht="16" thickBot="1">
      <c r="J4" s="197" t="s">
        <v>3</v>
      </c>
      <c r="K4" s="198"/>
      <c r="L4" s="198"/>
      <c r="M4" s="199"/>
    </row>
    <row r="5" spans="2:15" s="28" customFormat="1" ht="62">
      <c r="B5" s="103" t="s">
        <v>4</v>
      </c>
      <c r="C5" s="104" t="s">
        <v>5</v>
      </c>
      <c r="D5" s="104" t="s">
        <v>6</v>
      </c>
      <c r="E5" s="104" t="s">
        <v>7</v>
      </c>
      <c r="F5" s="104" t="s">
        <v>8</v>
      </c>
      <c r="G5" s="104" t="s">
        <v>9</v>
      </c>
      <c r="H5" s="104" t="s">
        <v>10</v>
      </c>
      <c r="I5" s="105" t="s">
        <v>11</v>
      </c>
      <c r="J5" s="106" t="s">
        <v>12</v>
      </c>
      <c r="K5" s="104" t="s">
        <v>13</v>
      </c>
      <c r="L5" s="104" t="s">
        <v>14</v>
      </c>
      <c r="M5" s="107" t="s">
        <v>15</v>
      </c>
      <c r="N5" s="108" t="s">
        <v>16</v>
      </c>
      <c r="O5" s="115"/>
    </row>
    <row r="6" spans="2:15">
      <c r="B6" s="109">
        <v>1</v>
      </c>
      <c r="C6" s="21" t="s">
        <v>17</v>
      </c>
      <c r="D6" s="21" t="s">
        <v>18</v>
      </c>
      <c r="E6" s="96" t="s">
        <v>19</v>
      </c>
      <c r="F6" s="29">
        <v>1</v>
      </c>
      <c r="G6" s="29" t="e">
        <f>#REF!</f>
        <v>#REF!</v>
      </c>
      <c r="H6" s="21" t="e">
        <f t="shared" ref="H6:H11" si="0">($H$3*F6)-G6</f>
        <v>#REF!</v>
      </c>
      <c r="I6" s="97">
        <v>1</v>
      </c>
      <c r="J6" s="98"/>
      <c r="K6" s="21" t="s">
        <v>20</v>
      </c>
      <c r="L6" s="21"/>
      <c r="M6" s="99"/>
      <c r="N6" s="110"/>
      <c r="O6" s="116"/>
    </row>
    <row r="7" spans="2:15">
      <c r="B7" s="109">
        <v>2</v>
      </c>
      <c r="C7" s="21" t="s">
        <v>21</v>
      </c>
      <c r="D7" s="21" t="s">
        <v>22</v>
      </c>
      <c r="E7" s="96" t="s">
        <v>23</v>
      </c>
      <c r="F7" s="29">
        <v>1</v>
      </c>
      <c r="G7" s="29">
        <v>640</v>
      </c>
      <c r="H7" s="21">
        <f t="shared" si="0"/>
        <v>80</v>
      </c>
      <c r="I7" s="97">
        <v>1</v>
      </c>
      <c r="J7" s="98"/>
      <c r="K7" s="21" t="s">
        <v>20</v>
      </c>
      <c r="L7" s="21"/>
      <c r="M7" s="99"/>
      <c r="N7" s="110"/>
      <c r="O7" s="116"/>
    </row>
    <row r="8" spans="2:15">
      <c r="B8" s="109">
        <v>3</v>
      </c>
      <c r="C8" s="21" t="s">
        <v>24</v>
      </c>
      <c r="D8" s="21" t="s">
        <v>24</v>
      </c>
      <c r="E8" s="96" t="s">
        <v>23</v>
      </c>
      <c r="F8" s="29">
        <v>1</v>
      </c>
      <c r="G8" s="29">
        <v>20</v>
      </c>
      <c r="H8" s="21">
        <f t="shared" si="0"/>
        <v>700</v>
      </c>
      <c r="I8" s="97">
        <v>0</v>
      </c>
      <c r="J8" s="98"/>
      <c r="L8" s="21"/>
      <c r="M8" s="99"/>
      <c r="N8" s="110"/>
      <c r="O8" s="116"/>
    </row>
    <row r="9" spans="2:15">
      <c r="B9" s="109">
        <v>4</v>
      </c>
      <c r="C9" s="21" t="s">
        <v>25</v>
      </c>
      <c r="D9" s="21" t="s">
        <v>26</v>
      </c>
      <c r="E9" s="96" t="s">
        <v>27</v>
      </c>
      <c r="F9" s="29">
        <v>1</v>
      </c>
      <c r="G9" s="29">
        <v>20</v>
      </c>
      <c r="H9" s="21">
        <f t="shared" si="0"/>
        <v>700</v>
      </c>
      <c r="I9" s="97">
        <v>1</v>
      </c>
      <c r="J9" s="98"/>
      <c r="K9" s="21" t="s">
        <v>20</v>
      </c>
      <c r="L9" s="21"/>
      <c r="M9" s="99"/>
      <c r="N9" s="110"/>
      <c r="O9" s="116"/>
    </row>
    <row r="10" spans="2:15">
      <c r="B10" s="109">
        <v>5</v>
      </c>
      <c r="C10" s="21" t="s">
        <v>28</v>
      </c>
      <c r="D10" s="21" t="s">
        <v>29</v>
      </c>
      <c r="E10" s="96" t="s">
        <v>19</v>
      </c>
      <c r="F10" s="29">
        <v>1</v>
      </c>
      <c r="G10" s="29">
        <v>110</v>
      </c>
      <c r="H10" s="21">
        <f t="shared" si="0"/>
        <v>610</v>
      </c>
      <c r="I10" s="97">
        <v>0</v>
      </c>
      <c r="J10" s="98"/>
      <c r="K10" s="21"/>
      <c r="L10" s="21"/>
      <c r="M10" s="99"/>
      <c r="N10" s="110"/>
      <c r="O10" s="116"/>
    </row>
    <row r="11" spans="2:15">
      <c r="B11" s="109">
        <v>6</v>
      </c>
      <c r="C11" s="21" t="s">
        <v>31</v>
      </c>
      <c r="D11" s="21" t="s">
        <v>32</v>
      </c>
      <c r="E11" s="21"/>
      <c r="F11" s="29">
        <v>1</v>
      </c>
      <c r="G11" s="29">
        <v>432</v>
      </c>
      <c r="H11" s="21">
        <f t="shared" si="0"/>
        <v>288</v>
      </c>
      <c r="I11" s="97">
        <v>0</v>
      </c>
      <c r="J11" s="98"/>
      <c r="K11" s="21"/>
      <c r="L11" s="21"/>
      <c r="M11" s="99"/>
      <c r="N11" s="110"/>
    </row>
    <row r="12" spans="2:15">
      <c r="B12" s="109">
        <v>7</v>
      </c>
      <c r="C12" s="21" t="s">
        <v>33</v>
      </c>
      <c r="D12" s="21" t="s">
        <v>34</v>
      </c>
      <c r="E12" s="21"/>
      <c r="F12" s="29">
        <v>1</v>
      </c>
      <c r="G12" s="29">
        <v>432</v>
      </c>
      <c r="H12" s="21">
        <f>($H$3*F12)-G12</f>
        <v>288</v>
      </c>
      <c r="I12" s="97">
        <v>0</v>
      </c>
      <c r="J12" s="98"/>
      <c r="K12" s="21"/>
      <c r="L12" s="21"/>
      <c r="M12" s="99"/>
      <c r="N12" s="110"/>
    </row>
    <row r="13" spans="2:15">
      <c r="B13" s="109">
        <v>8</v>
      </c>
      <c r="C13" s="21" t="s">
        <v>35</v>
      </c>
      <c r="D13" s="21" t="s">
        <v>36</v>
      </c>
      <c r="E13" s="21"/>
      <c r="F13" s="29">
        <v>1</v>
      </c>
      <c r="G13" s="29">
        <v>432</v>
      </c>
      <c r="H13" s="21">
        <f>($H$3*F13)-G13</f>
        <v>288</v>
      </c>
      <c r="I13" s="97">
        <v>0</v>
      </c>
      <c r="J13" s="98"/>
      <c r="K13" s="21"/>
      <c r="L13" s="21"/>
      <c r="M13" s="99"/>
      <c r="N13" s="110"/>
    </row>
    <row r="14" spans="2:15">
      <c r="B14" s="109">
        <v>9</v>
      </c>
      <c r="C14" s="21" t="s">
        <v>37</v>
      </c>
      <c r="D14" s="29" t="s">
        <v>38</v>
      </c>
      <c r="E14" s="21"/>
      <c r="F14" s="29">
        <v>1</v>
      </c>
      <c r="G14" s="29">
        <v>216</v>
      </c>
      <c r="H14" s="21">
        <f>($H$3*F14)-G14</f>
        <v>504</v>
      </c>
      <c r="I14" s="97">
        <v>0</v>
      </c>
      <c r="J14" s="98"/>
      <c r="K14" s="21"/>
      <c r="L14" s="21"/>
      <c r="M14" s="99"/>
      <c r="N14" s="110"/>
    </row>
    <row r="15" spans="2:15">
      <c r="B15" s="30"/>
    </row>
  </sheetData>
  <mergeCells count="2">
    <mergeCell ref="F3:G3"/>
    <mergeCell ref="J4:M4"/>
  </mergeCells>
  <conditionalFormatting sqref="H6:M7 H8:J8 L8:M8">
    <cfRule type="cellIs" dxfId="15" priority="3" operator="between">
      <formula>-1</formula>
      <formula>-9999</formula>
    </cfRule>
  </conditionalFormatting>
  <conditionalFormatting sqref="H9:M14">
    <cfRule type="cellIs" dxfId="14" priority="1" operator="between">
      <formula>-1</formula>
      <formula>-9999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7CD68-0D9C-404A-A451-C92042B26971}">
  <dimension ref="B2:J92"/>
  <sheetViews>
    <sheetView zoomScale="58" workbookViewId="0">
      <selection activeCell="C10" sqref="C10:C26"/>
    </sheetView>
  </sheetViews>
  <sheetFormatPr defaultColWidth="11" defaultRowHeight="15.5"/>
  <cols>
    <col min="2" max="10" width="33" customWidth="1"/>
  </cols>
  <sheetData>
    <row r="2" spans="2:10" ht="16" thickBot="1"/>
    <row r="3" spans="2:10" ht="25.5" thickTop="1">
      <c r="B3" s="1" t="s">
        <v>39</v>
      </c>
      <c r="C3" s="2" t="s">
        <v>40</v>
      </c>
      <c r="D3" s="2" t="s">
        <v>41</v>
      </c>
      <c r="E3" s="2" t="s">
        <v>42</v>
      </c>
      <c r="F3" s="2" t="s">
        <v>43</v>
      </c>
      <c r="G3" s="2" t="s">
        <v>44</v>
      </c>
      <c r="H3" s="2" t="s">
        <v>45</v>
      </c>
      <c r="I3" s="2" t="s">
        <v>46</v>
      </c>
      <c r="J3" s="3" t="s">
        <v>47</v>
      </c>
    </row>
    <row r="4" spans="2:10" ht="17.5">
      <c r="B4" s="218" t="s">
        <v>48</v>
      </c>
      <c r="C4" s="200" t="s">
        <v>49</v>
      </c>
      <c r="D4" s="5" t="s">
        <v>50</v>
      </c>
      <c r="E4" s="5" t="s">
        <v>51</v>
      </c>
      <c r="F4" s="5" t="s">
        <v>52</v>
      </c>
      <c r="G4" s="5" t="s">
        <v>53</v>
      </c>
      <c r="H4" s="6" t="s">
        <v>54</v>
      </c>
      <c r="I4" s="5" t="s">
        <v>55</v>
      </c>
      <c r="J4" s="7"/>
    </row>
    <row r="5" spans="2:10">
      <c r="B5" s="219"/>
      <c r="C5" s="201"/>
      <c r="D5" s="7" t="s">
        <v>56</v>
      </c>
      <c r="E5" s="7" t="s">
        <v>51</v>
      </c>
      <c r="F5" s="7" t="s">
        <v>52</v>
      </c>
      <c r="G5" s="7" t="s">
        <v>53</v>
      </c>
      <c r="H5" s="8" t="s">
        <v>57</v>
      </c>
      <c r="I5" s="7" t="s">
        <v>55</v>
      </c>
      <c r="J5" s="64"/>
    </row>
    <row r="6" spans="2:10">
      <c r="B6" s="219"/>
      <c r="C6" s="201"/>
      <c r="D6" s="203" t="s">
        <v>58</v>
      </c>
      <c r="E6" s="200" t="s">
        <v>51</v>
      </c>
      <c r="F6" s="200" t="s">
        <v>55</v>
      </c>
      <c r="G6" s="200" t="s">
        <v>59</v>
      </c>
      <c r="H6" s="10" t="s">
        <v>60</v>
      </c>
      <c r="I6" s="200" t="s">
        <v>61</v>
      </c>
      <c r="J6" s="200"/>
    </row>
    <row r="7" spans="2:10">
      <c r="B7" s="219"/>
      <c r="C7" s="201"/>
      <c r="D7" s="205"/>
      <c r="E7" s="202"/>
      <c r="F7" s="202"/>
      <c r="G7" s="202"/>
      <c r="H7" s="11" t="s">
        <v>62</v>
      </c>
      <c r="I7" s="202"/>
      <c r="J7" s="202"/>
    </row>
    <row r="8" spans="2:10">
      <c r="B8" s="219"/>
      <c r="C8" s="201"/>
      <c r="D8" s="203" t="s">
        <v>63</v>
      </c>
      <c r="E8" s="200" t="s">
        <v>51</v>
      </c>
      <c r="F8" s="200" t="s">
        <v>55</v>
      </c>
      <c r="G8" s="200" t="s">
        <v>59</v>
      </c>
      <c r="H8" s="10" t="s">
        <v>64</v>
      </c>
      <c r="I8" s="200" t="s">
        <v>61</v>
      </c>
      <c r="J8" s="224"/>
    </row>
    <row r="9" spans="2:10">
      <c r="B9" s="219"/>
      <c r="C9" s="202"/>
      <c r="D9" s="205"/>
      <c r="E9" s="202"/>
      <c r="F9" s="202"/>
      <c r="G9" s="202"/>
      <c r="H9" s="11" t="s">
        <v>65</v>
      </c>
      <c r="I9" s="202"/>
      <c r="J9" s="226"/>
    </row>
    <row r="10" spans="2:10" ht="31">
      <c r="B10" s="219"/>
      <c r="C10" s="200" t="s">
        <v>66</v>
      </c>
      <c r="D10" s="203" t="s">
        <v>67</v>
      </c>
      <c r="E10" s="4" t="s">
        <v>68</v>
      </c>
      <c r="F10" s="200" t="s">
        <v>69</v>
      </c>
      <c r="G10" s="200" t="s">
        <v>59</v>
      </c>
      <c r="H10" s="10" t="s">
        <v>70</v>
      </c>
      <c r="I10" s="200" t="s">
        <v>71</v>
      </c>
      <c r="J10" s="200"/>
    </row>
    <row r="11" spans="2:10">
      <c r="B11" s="219"/>
      <c r="C11" s="201"/>
      <c r="D11" s="204"/>
      <c r="E11" s="12" t="s">
        <v>72</v>
      </c>
      <c r="F11" s="201"/>
      <c r="G11" s="201"/>
      <c r="H11" s="14" t="s">
        <v>73</v>
      </c>
      <c r="I11" s="201"/>
      <c r="J11" s="201"/>
    </row>
    <row r="12" spans="2:10" ht="31">
      <c r="B12" s="219"/>
      <c r="C12" s="201"/>
      <c r="D12" s="205"/>
      <c r="E12" s="13"/>
      <c r="F12" s="202"/>
      <c r="G12" s="202"/>
      <c r="H12" s="11" t="s">
        <v>74</v>
      </c>
      <c r="I12" s="202"/>
      <c r="J12" s="202"/>
    </row>
    <row r="13" spans="2:10" ht="31">
      <c r="B13" s="219"/>
      <c r="C13" s="201"/>
      <c r="D13" s="203" t="s">
        <v>75</v>
      </c>
      <c r="E13" s="200" t="s">
        <v>76</v>
      </c>
      <c r="F13" s="200" t="s">
        <v>77</v>
      </c>
      <c r="G13" s="200" t="s">
        <v>59</v>
      </c>
      <c r="H13" s="10" t="s">
        <v>70</v>
      </c>
      <c r="I13" s="206"/>
      <c r="J13" s="224"/>
    </row>
    <row r="14" spans="2:10">
      <c r="B14" s="219"/>
      <c r="C14" s="201"/>
      <c r="D14" s="204"/>
      <c r="E14" s="201"/>
      <c r="F14" s="201"/>
      <c r="G14" s="201"/>
      <c r="H14" s="14" t="s">
        <v>73</v>
      </c>
      <c r="I14" s="207"/>
      <c r="J14" s="225"/>
    </row>
    <row r="15" spans="2:10" ht="31">
      <c r="B15" s="219"/>
      <c r="C15" s="201"/>
      <c r="D15" s="205"/>
      <c r="E15" s="202"/>
      <c r="F15" s="202"/>
      <c r="G15" s="202"/>
      <c r="H15" s="11" t="s">
        <v>74</v>
      </c>
      <c r="I15" s="208"/>
      <c r="J15" s="226"/>
    </row>
    <row r="16" spans="2:10" ht="31">
      <c r="B16" s="219"/>
      <c r="C16" s="201"/>
      <c r="D16" s="203" t="s">
        <v>78</v>
      </c>
      <c r="E16" s="4" t="s">
        <v>79</v>
      </c>
      <c r="F16" s="4" t="s">
        <v>80</v>
      </c>
      <c r="G16" s="200" t="s">
        <v>53</v>
      </c>
      <c r="H16" s="10" t="s">
        <v>70</v>
      </c>
      <c r="I16" s="206"/>
      <c r="J16" s="224"/>
    </row>
    <row r="17" spans="2:10">
      <c r="B17" s="219"/>
      <c r="C17" s="201"/>
      <c r="D17" s="204"/>
      <c r="E17" s="12" t="s">
        <v>81</v>
      </c>
      <c r="F17" s="12" t="s">
        <v>82</v>
      </c>
      <c r="G17" s="201"/>
      <c r="H17" s="14" t="s">
        <v>73</v>
      </c>
      <c r="I17" s="207"/>
      <c r="J17" s="225"/>
    </row>
    <row r="18" spans="2:10" ht="31">
      <c r="B18" s="219"/>
      <c r="C18" s="201"/>
      <c r="D18" s="205"/>
      <c r="E18" s="13"/>
      <c r="F18" s="13"/>
      <c r="G18" s="202"/>
      <c r="H18" s="11" t="s">
        <v>74</v>
      </c>
      <c r="I18" s="208"/>
      <c r="J18" s="226"/>
    </row>
    <row r="19" spans="2:10" ht="31">
      <c r="B19" s="219"/>
      <c r="C19" s="201"/>
      <c r="D19" s="203" t="s">
        <v>83</v>
      </c>
      <c r="E19" s="200" t="s">
        <v>84</v>
      </c>
      <c r="F19" s="200" t="s">
        <v>85</v>
      </c>
      <c r="G19" s="200" t="s">
        <v>53</v>
      </c>
      <c r="H19" s="10" t="s">
        <v>70</v>
      </c>
      <c r="I19" s="200" t="s">
        <v>86</v>
      </c>
      <c r="J19" s="200"/>
    </row>
    <row r="20" spans="2:10">
      <c r="B20" s="219"/>
      <c r="C20" s="201"/>
      <c r="D20" s="204"/>
      <c r="E20" s="201"/>
      <c r="F20" s="201"/>
      <c r="G20" s="201"/>
      <c r="H20" s="14" t="s">
        <v>73</v>
      </c>
      <c r="I20" s="201"/>
      <c r="J20" s="201"/>
    </row>
    <row r="21" spans="2:10" ht="31">
      <c r="B21" s="219"/>
      <c r="C21" s="201"/>
      <c r="D21" s="205"/>
      <c r="E21" s="202"/>
      <c r="F21" s="202"/>
      <c r="G21" s="202"/>
      <c r="H21" s="11" t="s">
        <v>74</v>
      </c>
      <c r="I21" s="202"/>
      <c r="J21" s="202"/>
    </row>
    <row r="22" spans="2:10" ht="45" customHeight="1">
      <c r="B22" s="219"/>
      <c r="C22" s="201"/>
      <c r="D22" s="203" t="s">
        <v>87</v>
      </c>
      <c r="E22" s="200" t="s">
        <v>88</v>
      </c>
      <c r="F22" s="4" t="s">
        <v>89</v>
      </c>
      <c r="G22" s="200" t="s">
        <v>53</v>
      </c>
      <c r="H22" s="210" t="s">
        <v>90</v>
      </c>
      <c r="I22" s="200" t="s">
        <v>22</v>
      </c>
      <c r="J22" s="65"/>
    </row>
    <row r="23" spans="2:10">
      <c r="B23" s="219"/>
      <c r="C23" s="201"/>
      <c r="D23" s="205"/>
      <c r="E23" s="202"/>
      <c r="F23" s="15" t="s">
        <v>91</v>
      </c>
      <c r="G23" s="202"/>
      <c r="H23" s="211"/>
      <c r="I23" s="202"/>
      <c r="J23" s="66"/>
    </row>
    <row r="24" spans="2:10" ht="31">
      <c r="B24" s="219"/>
      <c r="C24" s="201"/>
      <c r="D24" s="203" t="s">
        <v>92</v>
      </c>
      <c r="E24" s="4" t="s">
        <v>79</v>
      </c>
      <c r="F24" s="4" t="s">
        <v>80</v>
      </c>
      <c r="G24" s="200" t="s">
        <v>59</v>
      </c>
      <c r="H24" s="10" t="s">
        <v>93</v>
      </c>
      <c r="I24" s="200" t="s">
        <v>94</v>
      </c>
      <c r="J24" s="227"/>
    </row>
    <row r="25" spans="2:10">
      <c r="B25" s="219"/>
      <c r="C25" s="201"/>
      <c r="D25" s="204"/>
      <c r="E25" s="12" t="s">
        <v>81</v>
      </c>
      <c r="F25" s="12" t="s">
        <v>82</v>
      </c>
      <c r="G25" s="201"/>
      <c r="H25" s="14" t="s">
        <v>73</v>
      </c>
      <c r="I25" s="201"/>
      <c r="J25" s="228"/>
    </row>
    <row r="26" spans="2:10" ht="31">
      <c r="B26" s="219"/>
      <c r="C26" s="202"/>
      <c r="D26" s="205"/>
      <c r="E26" s="13"/>
      <c r="F26" s="13"/>
      <c r="G26" s="202"/>
      <c r="H26" s="11" t="s">
        <v>74</v>
      </c>
      <c r="I26" s="202"/>
      <c r="J26" s="229"/>
    </row>
    <row r="27" spans="2:10">
      <c r="B27" s="219"/>
      <c r="C27" s="200" t="s">
        <v>95</v>
      </c>
      <c r="D27" s="203" t="s">
        <v>96</v>
      </c>
      <c r="E27" s="4" t="s">
        <v>79</v>
      </c>
      <c r="F27" s="200" t="s">
        <v>77</v>
      </c>
      <c r="G27" s="200" t="s">
        <v>97</v>
      </c>
      <c r="H27" s="210" t="s">
        <v>98</v>
      </c>
      <c r="I27" s="200" t="s">
        <v>99</v>
      </c>
      <c r="J27" s="4"/>
    </row>
    <row r="28" spans="2:10">
      <c r="B28" s="220"/>
      <c r="C28" s="202"/>
      <c r="D28" s="205"/>
      <c r="E28" s="15" t="s">
        <v>81</v>
      </c>
      <c r="F28" s="202"/>
      <c r="G28" s="202"/>
      <c r="H28" s="211"/>
      <c r="I28" s="202"/>
      <c r="J28" s="15"/>
    </row>
    <row r="29" spans="2:10">
      <c r="B29" s="215" t="s">
        <v>100</v>
      </c>
      <c r="C29" s="200" t="s">
        <v>101</v>
      </c>
      <c r="D29" s="9" t="s">
        <v>102</v>
      </c>
      <c r="E29" s="200" t="s">
        <v>51</v>
      </c>
      <c r="F29" s="200" t="s">
        <v>103</v>
      </c>
      <c r="G29" s="200" t="s">
        <v>53</v>
      </c>
      <c r="H29" s="210" t="s">
        <v>104</v>
      </c>
      <c r="I29" s="206"/>
      <c r="J29" s="200"/>
    </row>
    <row r="30" spans="2:10">
      <c r="B30" s="216"/>
      <c r="C30" s="201"/>
      <c r="D30" s="16" t="s">
        <v>105</v>
      </c>
      <c r="E30" s="202"/>
      <c r="F30" s="202"/>
      <c r="G30" s="202"/>
      <c r="H30" s="211"/>
      <c r="I30" s="208"/>
      <c r="J30" s="202"/>
    </row>
    <row r="31" spans="2:10" ht="31">
      <c r="B31" s="216"/>
      <c r="C31" s="201"/>
      <c r="D31" s="203" t="s">
        <v>106</v>
      </c>
      <c r="E31" s="200" t="s">
        <v>51</v>
      </c>
      <c r="F31" s="212" t="s">
        <v>55</v>
      </c>
      <c r="G31" s="200" t="s">
        <v>107</v>
      </c>
      <c r="H31" s="10" t="s">
        <v>108</v>
      </c>
      <c r="I31" s="206"/>
      <c r="J31" s="200"/>
    </row>
    <row r="32" spans="2:10">
      <c r="B32" s="216"/>
      <c r="C32" s="201"/>
      <c r="D32" s="204"/>
      <c r="E32" s="201"/>
      <c r="F32" s="213"/>
      <c r="G32" s="201"/>
      <c r="H32" s="14" t="s">
        <v>109</v>
      </c>
      <c r="I32" s="207"/>
      <c r="J32" s="201"/>
    </row>
    <row r="33" spans="2:10">
      <c r="B33" s="216"/>
      <c r="C33" s="202"/>
      <c r="D33" s="205"/>
      <c r="E33" s="202"/>
      <c r="F33" s="214"/>
      <c r="G33" s="202"/>
      <c r="H33" s="11" t="s">
        <v>110</v>
      </c>
      <c r="I33" s="208"/>
      <c r="J33" s="202"/>
    </row>
    <row r="34" spans="2:10">
      <c r="B34" s="216"/>
      <c r="C34" s="221" t="s">
        <v>111</v>
      </c>
      <c r="D34" s="203" t="s">
        <v>112</v>
      </c>
      <c r="E34" s="4" t="s">
        <v>113</v>
      </c>
      <c r="F34" s="200" t="s">
        <v>114</v>
      </c>
      <c r="G34" s="200" t="s">
        <v>115</v>
      </c>
      <c r="H34" s="10" t="s">
        <v>116</v>
      </c>
      <c r="I34" s="200" t="s">
        <v>117</v>
      </c>
      <c r="J34" s="200"/>
    </row>
    <row r="35" spans="2:10">
      <c r="B35" s="216"/>
      <c r="C35" s="222"/>
      <c r="D35" s="205"/>
      <c r="E35" s="15" t="s">
        <v>118</v>
      </c>
      <c r="F35" s="202"/>
      <c r="G35" s="202"/>
      <c r="H35" s="11" t="s">
        <v>119</v>
      </c>
      <c r="I35" s="202"/>
      <c r="J35" s="202"/>
    </row>
    <row r="36" spans="2:10">
      <c r="B36" s="216"/>
      <c r="C36" s="222"/>
      <c r="D36" s="203" t="s">
        <v>120</v>
      </c>
      <c r="E36" s="4" t="s">
        <v>79</v>
      </c>
      <c r="F36" s="4" t="s">
        <v>121</v>
      </c>
      <c r="G36" s="200" t="s">
        <v>122</v>
      </c>
      <c r="H36" s="210" t="s">
        <v>123</v>
      </c>
      <c r="I36" s="206"/>
      <c r="J36" s="4"/>
    </row>
    <row r="37" spans="2:10">
      <c r="B37" s="216"/>
      <c r="C37" s="223"/>
      <c r="D37" s="205"/>
      <c r="E37" s="15" t="s">
        <v>81</v>
      </c>
      <c r="F37" s="15" t="s">
        <v>124</v>
      </c>
      <c r="G37" s="202"/>
      <c r="H37" s="211"/>
      <c r="I37" s="208"/>
      <c r="J37" s="15"/>
    </row>
    <row r="38" spans="2:10" ht="31">
      <c r="B38" s="216"/>
      <c r="C38" s="200" t="s">
        <v>125</v>
      </c>
      <c r="D38" s="203" t="s">
        <v>75</v>
      </c>
      <c r="E38" s="200" t="s">
        <v>76</v>
      </c>
      <c r="F38" s="200" t="s">
        <v>126</v>
      </c>
      <c r="G38" s="200" t="s">
        <v>53</v>
      </c>
      <c r="H38" s="10" t="s">
        <v>108</v>
      </c>
      <c r="I38" s="200" t="s">
        <v>127</v>
      </c>
      <c r="J38" s="200"/>
    </row>
    <row r="39" spans="2:10">
      <c r="B39" s="216"/>
      <c r="C39" s="201"/>
      <c r="D39" s="204"/>
      <c r="E39" s="201"/>
      <c r="F39" s="201"/>
      <c r="G39" s="201"/>
      <c r="H39" s="14" t="s">
        <v>109</v>
      </c>
      <c r="I39" s="201"/>
      <c r="J39" s="201"/>
    </row>
    <row r="40" spans="2:10">
      <c r="B40" s="216"/>
      <c r="C40" s="201"/>
      <c r="D40" s="205"/>
      <c r="E40" s="202"/>
      <c r="F40" s="202"/>
      <c r="G40" s="202"/>
      <c r="H40" s="11" t="s">
        <v>110</v>
      </c>
      <c r="I40" s="202"/>
      <c r="J40" s="202"/>
    </row>
    <row r="41" spans="2:10" ht="31">
      <c r="B41" s="216"/>
      <c r="C41" s="201"/>
      <c r="D41" s="203" t="s">
        <v>83</v>
      </c>
      <c r="E41" s="200" t="s">
        <v>84</v>
      </c>
      <c r="F41" s="200" t="s">
        <v>128</v>
      </c>
      <c r="G41" s="200" t="s">
        <v>129</v>
      </c>
      <c r="H41" s="10" t="s">
        <v>108</v>
      </c>
      <c r="I41" s="206"/>
      <c r="J41" s="200"/>
    </row>
    <row r="42" spans="2:10">
      <c r="B42" s="216"/>
      <c r="C42" s="201"/>
      <c r="D42" s="204"/>
      <c r="E42" s="201"/>
      <c r="F42" s="201"/>
      <c r="G42" s="201"/>
      <c r="H42" s="14" t="s">
        <v>109</v>
      </c>
      <c r="I42" s="207"/>
      <c r="J42" s="201"/>
    </row>
    <row r="43" spans="2:10">
      <c r="B43" s="216"/>
      <c r="C43" s="201"/>
      <c r="D43" s="205"/>
      <c r="E43" s="202"/>
      <c r="F43" s="202"/>
      <c r="G43" s="202"/>
      <c r="H43" s="11" t="s">
        <v>110</v>
      </c>
      <c r="I43" s="208"/>
      <c r="J43" s="202"/>
    </row>
    <row r="44" spans="2:10" ht="31">
      <c r="B44" s="216"/>
      <c r="C44" s="201"/>
      <c r="D44" s="203" t="s">
        <v>130</v>
      </c>
      <c r="E44" s="200" t="s">
        <v>131</v>
      </c>
      <c r="F44" s="200" t="s">
        <v>132</v>
      </c>
      <c r="G44" s="200" t="s">
        <v>53</v>
      </c>
      <c r="H44" s="10" t="s">
        <v>108</v>
      </c>
      <c r="I44" s="200" t="s">
        <v>133</v>
      </c>
      <c r="J44" s="4"/>
    </row>
    <row r="45" spans="2:10">
      <c r="B45" s="216"/>
      <c r="C45" s="201"/>
      <c r="D45" s="204"/>
      <c r="E45" s="201"/>
      <c r="F45" s="201"/>
      <c r="G45" s="201"/>
      <c r="H45" s="14" t="s">
        <v>109</v>
      </c>
      <c r="I45" s="201"/>
      <c r="J45" s="12"/>
    </row>
    <row r="46" spans="2:10">
      <c r="B46" s="216"/>
      <c r="C46" s="201"/>
      <c r="D46" s="205"/>
      <c r="E46" s="202"/>
      <c r="F46" s="202"/>
      <c r="G46" s="202"/>
      <c r="H46" s="11" t="s">
        <v>110</v>
      </c>
      <c r="I46" s="202"/>
      <c r="J46" s="15"/>
    </row>
    <row r="47" spans="2:10" ht="31">
      <c r="B47" s="216"/>
      <c r="C47" s="201"/>
      <c r="D47" s="200" t="s">
        <v>78</v>
      </c>
      <c r="E47" s="4" t="s">
        <v>134</v>
      </c>
      <c r="F47" s="200" t="s">
        <v>114</v>
      </c>
      <c r="G47" s="200" t="s">
        <v>107</v>
      </c>
      <c r="H47" s="10" t="s">
        <v>108</v>
      </c>
      <c r="I47" s="200" t="s">
        <v>135</v>
      </c>
      <c r="J47" s="200"/>
    </row>
    <row r="48" spans="2:10">
      <c r="B48" s="216"/>
      <c r="C48" s="201"/>
      <c r="D48" s="201"/>
      <c r="E48" s="12" t="s">
        <v>136</v>
      </c>
      <c r="F48" s="201"/>
      <c r="G48" s="201"/>
      <c r="H48" s="14" t="s">
        <v>109</v>
      </c>
      <c r="I48" s="201"/>
      <c r="J48" s="201"/>
    </row>
    <row r="49" spans="2:10">
      <c r="B49" s="216"/>
      <c r="C49" s="201"/>
      <c r="D49" s="202"/>
      <c r="E49" s="15" t="s">
        <v>137</v>
      </c>
      <c r="F49" s="202"/>
      <c r="G49" s="202"/>
      <c r="H49" s="11" t="s">
        <v>110</v>
      </c>
      <c r="I49" s="202"/>
      <c r="J49" s="202"/>
    </row>
    <row r="50" spans="2:10" ht="31">
      <c r="B50" s="216"/>
      <c r="C50" s="201"/>
      <c r="D50" s="200" t="s">
        <v>78</v>
      </c>
      <c r="E50" s="4" t="s">
        <v>134</v>
      </c>
      <c r="F50" s="200" t="s">
        <v>138</v>
      </c>
      <c r="G50" s="200" t="s">
        <v>53</v>
      </c>
      <c r="H50" s="10" t="s">
        <v>108</v>
      </c>
      <c r="I50" s="200" t="s">
        <v>139</v>
      </c>
      <c r="J50" s="4"/>
    </row>
    <row r="51" spans="2:10">
      <c r="B51" s="216"/>
      <c r="C51" s="201"/>
      <c r="D51" s="201"/>
      <c r="E51" s="12" t="s">
        <v>136</v>
      </c>
      <c r="F51" s="201"/>
      <c r="G51" s="201"/>
      <c r="H51" s="14" t="s">
        <v>109</v>
      </c>
      <c r="I51" s="201"/>
      <c r="J51" s="12"/>
    </row>
    <row r="52" spans="2:10" ht="16" thickBot="1">
      <c r="B52" s="217"/>
      <c r="C52" s="209"/>
      <c r="D52" s="209"/>
      <c r="E52" s="17" t="s">
        <v>140</v>
      </c>
      <c r="F52" s="209"/>
      <c r="G52" s="209"/>
      <c r="H52" s="18" t="s">
        <v>110</v>
      </c>
      <c r="I52" s="209"/>
      <c r="J52" s="67"/>
    </row>
    <row r="53" spans="2:10" ht="16" thickTop="1"/>
    <row r="55" spans="2:10" ht="16" thickBot="1"/>
    <row r="56" spans="2:10" ht="26" thickTop="1" thickBot="1">
      <c r="B56" s="56" t="s">
        <v>39</v>
      </c>
      <c r="C56" s="57" t="s">
        <v>40</v>
      </c>
      <c r="D56" s="57" t="s">
        <v>41</v>
      </c>
      <c r="E56" s="57" t="s">
        <v>42</v>
      </c>
      <c r="F56" s="57" t="s">
        <v>43</v>
      </c>
      <c r="G56" s="57" t="s">
        <v>44</v>
      </c>
      <c r="H56" s="57" t="s">
        <v>141</v>
      </c>
      <c r="I56" s="57" t="s">
        <v>45</v>
      </c>
      <c r="J56" s="58" t="s">
        <v>142</v>
      </c>
    </row>
    <row r="57" spans="2:10" ht="23" thickBot="1">
      <c r="B57" s="79" t="s">
        <v>143</v>
      </c>
      <c r="C57" s="70" t="s">
        <v>49</v>
      </c>
      <c r="D57" s="37" t="s">
        <v>50</v>
      </c>
      <c r="E57" s="37" t="s">
        <v>51</v>
      </c>
      <c r="F57" s="37" t="s">
        <v>52</v>
      </c>
      <c r="G57" s="38" t="s">
        <v>144</v>
      </c>
      <c r="H57" s="39"/>
      <c r="I57" s="59" t="s">
        <v>54</v>
      </c>
      <c r="J57" s="39"/>
    </row>
    <row r="58" spans="2:10" ht="23" thickBot="1">
      <c r="B58" s="80"/>
      <c r="C58" s="72"/>
      <c r="D58" s="37" t="s">
        <v>56</v>
      </c>
      <c r="E58" s="37" t="s">
        <v>51</v>
      </c>
      <c r="F58" s="37" t="s">
        <v>52</v>
      </c>
      <c r="G58" s="38" t="s">
        <v>144</v>
      </c>
      <c r="H58" s="39"/>
      <c r="I58" s="59" t="s">
        <v>57</v>
      </c>
      <c r="J58" s="39"/>
    </row>
    <row r="59" spans="2:10" ht="35">
      <c r="B59" s="80"/>
      <c r="C59" s="73" t="s">
        <v>66</v>
      </c>
      <c r="D59" s="76" t="s">
        <v>83</v>
      </c>
      <c r="E59" s="70" t="s">
        <v>84</v>
      </c>
      <c r="F59" s="70" t="s">
        <v>85</v>
      </c>
      <c r="G59" s="73" t="s">
        <v>145</v>
      </c>
      <c r="H59" s="73" t="s">
        <v>146</v>
      </c>
      <c r="I59" s="60" t="s">
        <v>70</v>
      </c>
      <c r="J59" s="70" t="s">
        <v>86</v>
      </c>
    </row>
    <row r="60" spans="2:10" ht="17.5">
      <c r="B60" s="80"/>
      <c r="C60" s="74"/>
      <c r="D60" s="77"/>
      <c r="E60" s="71"/>
      <c r="F60" s="71"/>
      <c r="G60" s="74"/>
      <c r="H60" s="74"/>
      <c r="I60" s="61" t="s">
        <v>73</v>
      </c>
      <c r="J60" s="71"/>
    </row>
    <row r="61" spans="2:10" ht="35.5" thickBot="1">
      <c r="B61" s="80"/>
      <c r="C61" s="74"/>
      <c r="D61" s="78"/>
      <c r="E61" s="72"/>
      <c r="F61" s="72"/>
      <c r="G61" s="75"/>
      <c r="H61" s="75"/>
      <c r="I61" s="62" t="s">
        <v>74</v>
      </c>
      <c r="J61" s="72"/>
    </row>
    <row r="62" spans="2:10" ht="17.5">
      <c r="B62" s="80"/>
      <c r="C62" s="74"/>
      <c r="D62" s="76" t="s">
        <v>87</v>
      </c>
      <c r="E62" s="70" t="s">
        <v>88</v>
      </c>
      <c r="F62" s="36" t="s">
        <v>89</v>
      </c>
      <c r="G62" s="40" t="s">
        <v>147</v>
      </c>
      <c r="H62" s="73" t="s">
        <v>148</v>
      </c>
      <c r="I62" s="70" t="s">
        <v>90</v>
      </c>
      <c r="J62" s="70" t="s">
        <v>22</v>
      </c>
    </row>
    <row r="63" spans="2:10" ht="17.5">
      <c r="B63" s="80"/>
      <c r="C63" s="74"/>
      <c r="D63" s="77"/>
      <c r="E63" s="71"/>
      <c r="F63" s="42" t="s">
        <v>149</v>
      </c>
      <c r="G63" s="44" t="s">
        <v>150</v>
      </c>
      <c r="H63" s="74"/>
      <c r="I63" s="71"/>
      <c r="J63" s="71"/>
    </row>
    <row r="64" spans="2:10" ht="18.75" customHeight="1" thickBot="1">
      <c r="B64" s="80"/>
      <c r="C64" s="75"/>
      <c r="D64" s="78"/>
      <c r="E64" s="72"/>
      <c r="F64" s="43"/>
      <c r="G64" s="45" t="s">
        <v>151</v>
      </c>
      <c r="H64" s="75"/>
      <c r="I64" s="72"/>
      <c r="J64" s="72"/>
    </row>
    <row r="65" spans="2:10" ht="17.5">
      <c r="B65" s="80"/>
      <c r="C65" s="70" t="s">
        <v>95</v>
      </c>
      <c r="D65" s="76" t="s">
        <v>96</v>
      </c>
      <c r="E65" s="36" t="s">
        <v>79</v>
      </c>
      <c r="F65" s="70" t="s">
        <v>77</v>
      </c>
      <c r="G65" s="73" t="s">
        <v>152</v>
      </c>
      <c r="H65" s="73" t="s">
        <v>153</v>
      </c>
      <c r="I65" s="70" t="s">
        <v>98</v>
      </c>
      <c r="J65" s="70" t="s">
        <v>154</v>
      </c>
    </row>
    <row r="66" spans="2:10" ht="18" thickBot="1">
      <c r="B66" s="85"/>
      <c r="C66" s="72"/>
      <c r="D66" s="78"/>
      <c r="E66" s="46" t="s">
        <v>81</v>
      </c>
      <c r="F66" s="72"/>
      <c r="G66" s="75"/>
      <c r="H66" s="75"/>
      <c r="I66" s="72"/>
      <c r="J66" s="72"/>
    </row>
    <row r="67" spans="2:10" ht="17.5">
      <c r="B67" s="79" t="s">
        <v>155</v>
      </c>
      <c r="C67" s="70" t="s">
        <v>101</v>
      </c>
      <c r="D67" s="41" t="s">
        <v>102</v>
      </c>
      <c r="E67" s="70" t="s">
        <v>51</v>
      </c>
      <c r="F67" s="70" t="s">
        <v>55</v>
      </c>
      <c r="G67" s="73" t="s">
        <v>156</v>
      </c>
      <c r="H67" s="73" t="s">
        <v>157</v>
      </c>
      <c r="I67" s="70" t="s">
        <v>104</v>
      </c>
      <c r="J67" s="70" t="s">
        <v>139</v>
      </c>
    </row>
    <row r="68" spans="2:10" ht="18" thickBot="1">
      <c r="B68" s="80"/>
      <c r="C68" s="71"/>
      <c r="D68" s="47" t="s">
        <v>105</v>
      </c>
      <c r="E68" s="72"/>
      <c r="F68" s="72"/>
      <c r="G68" s="75"/>
      <c r="H68" s="75"/>
      <c r="I68" s="72"/>
      <c r="J68" s="72"/>
    </row>
    <row r="69" spans="2:10" ht="35">
      <c r="B69" s="80"/>
      <c r="C69" s="71"/>
      <c r="D69" s="76" t="s">
        <v>106</v>
      </c>
      <c r="E69" s="70" t="s">
        <v>51</v>
      </c>
      <c r="F69" s="82" t="s">
        <v>55</v>
      </c>
      <c r="G69" s="73" t="s">
        <v>158</v>
      </c>
      <c r="H69" s="73" t="s">
        <v>159</v>
      </c>
      <c r="I69" s="60" t="s">
        <v>108</v>
      </c>
      <c r="J69" s="70" t="s">
        <v>139</v>
      </c>
    </row>
    <row r="70" spans="2:10" ht="35">
      <c r="B70" s="80"/>
      <c r="C70" s="71"/>
      <c r="D70" s="77"/>
      <c r="E70" s="71"/>
      <c r="F70" s="83"/>
      <c r="G70" s="74"/>
      <c r="H70" s="74"/>
      <c r="I70" s="61" t="s">
        <v>109</v>
      </c>
      <c r="J70" s="71"/>
    </row>
    <row r="71" spans="2:10" ht="18.5" thickBot="1">
      <c r="B71" s="80"/>
      <c r="C71" s="72"/>
      <c r="D71" s="78"/>
      <c r="E71" s="72"/>
      <c r="F71" s="84"/>
      <c r="G71" s="75"/>
      <c r="H71" s="75"/>
      <c r="I71" s="62" t="s">
        <v>110</v>
      </c>
      <c r="J71" s="72"/>
    </row>
    <row r="72" spans="2:10" ht="17.5">
      <c r="B72" s="80"/>
      <c r="C72" s="70" t="s">
        <v>111</v>
      </c>
      <c r="D72" s="76" t="s">
        <v>112</v>
      </c>
      <c r="E72" s="36" t="s">
        <v>113</v>
      </c>
      <c r="F72" s="70" t="s">
        <v>114</v>
      </c>
      <c r="G72" s="40" t="s">
        <v>160</v>
      </c>
      <c r="H72" s="73" t="s">
        <v>161</v>
      </c>
      <c r="I72" s="63" t="s">
        <v>162</v>
      </c>
      <c r="J72" s="70" t="s">
        <v>163</v>
      </c>
    </row>
    <row r="73" spans="2:10" ht="18" thickBot="1">
      <c r="B73" s="80"/>
      <c r="C73" s="71"/>
      <c r="D73" s="78"/>
      <c r="E73" s="46" t="s">
        <v>118</v>
      </c>
      <c r="F73" s="72"/>
      <c r="G73" s="45" t="s">
        <v>160</v>
      </c>
      <c r="H73" s="75"/>
      <c r="I73" s="62" t="s">
        <v>164</v>
      </c>
      <c r="J73" s="72"/>
    </row>
    <row r="74" spans="2:10" ht="17.5">
      <c r="B74" s="80"/>
      <c r="C74" s="71"/>
      <c r="D74" s="76" t="s">
        <v>120</v>
      </c>
      <c r="E74" s="36" t="s">
        <v>79</v>
      </c>
      <c r="F74" s="70" t="s">
        <v>165</v>
      </c>
      <c r="G74" s="73" t="s">
        <v>160</v>
      </c>
      <c r="H74" s="73" t="s">
        <v>161</v>
      </c>
      <c r="I74" s="70" t="s">
        <v>123</v>
      </c>
      <c r="J74" s="70" t="s">
        <v>166</v>
      </c>
    </row>
    <row r="75" spans="2:10" ht="18" thickBot="1">
      <c r="B75" s="80"/>
      <c r="C75" s="72"/>
      <c r="D75" s="78"/>
      <c r="E75" s="46" t="s">
        <v>81</v>
      </c>
      <c r="F75" s="72"/>
      <c r="G75" s="75"/>
      <c r="H75" s="75"/>
      <c r="I75" s="72"/>
      <c r="J75" s="72"/>
    </row>
    <row r="76" spans="2:10" ht="35">
      <c r="B76" s="80"/>
      <c r="C76" s="70" t="s">
        <v>125</v>
      </c>
      <c r="D76" s="76" t="s">
        <v>75</v>
      </c>
      <c r="E76" s="70" t="s">
        <v>76</v>
      </c>
      <c r="F76" s="70" t="s">
        <v>77</v>
      </c>
      <c r="G76" s="73" t="s">
        <v>167</v>
      </c>
      <c r="H76" s="73" t="s">
        <v>168</v>
      </c>
      <c r="I76" s="60" t="s">
        <v>108</v>
      </c>
      <c r="J76" s="70" t="s">
        <v>169</v>
      </c>
    </row>
    <row r="77" spans="2:10" ht="35">
      <c r="B77" s="80"/>
      <c r="C77" s="71"/>
      <c r="D77" s="77"/>
      <c r="E77" s="71"/>
      <c r="F77" s="71"/>
      <c r="G77" s="74"/>
      <c r="H77" s="74"/>
      <c r="I77" s="61" t="s">
        <v>109</v>
      </c>
      <c r="J77" s="71"/>
    </row>
    <row r="78" spans="2:10" ht="18" thickBot="1">
      <c r="B78" s="80"/>
      <c r="C78" s="71"/>
      <c r="D78" s="78"/>
      <c r="E78" s="72"/>
      <c r="F78" s="72"/>
      <c r="G78" s="75"/>
      <c r="H78" s="75"/>
      <c r="I78" s="62" t="s">
        <v>110</v>
      </c>
      <c r="J78" s="72"/>
    </row>
    <row r="79" spans="2:10" ht="35">
      <c r="B79" s="80"/>
      <c r="C79" s="71"/>
      <c r="D79" s="76" t="s">
        <v>83</v>
      </c>
      <c r="E79" s="70" t="s">
        <v>84</v>
      </c>
      <c r="F79" s="70" t="s">
        <v>55</v>
      </c>
      <c r="G79" s="36" t="s">
        <v>170</v>
      </c>
      <c r="H79" s="36" t="s">
        <v>171</v>
      </c>
      <c r="I79" s="63" t="s">
        <v>172</v>
      </c>
      <c r="J79" s="70" t="s">
        <v>173</v>
      </c>
    </row>
    <row r="80" spans="2:10" ht="35">
      <c r="B80" s="80"/>
      <c r="C80" s="71"/>
      <c r="D80" s="77"/>
      <c r="E80" s="71"/>
      <c r="F80" s="71"/>
      <c r="G80" s="42" t="s">
        <v>170</v>
      </c>
      <c r="H80" s="44" t="s">
        <v>174</v>
      </c>
      <c r="I80" s="61" t="s">
        <v>175</v>
      </c>
      <c r="J80" s="71"/>
    </row>
    <row r="81" spans="2:10" ht="17.5">
      <c r="B81" s="80"/>
      <c r="C81" s="71"/>
      <c r="D81" s="77"/>
      <c r="E81" s="71"/>
      <c r="F81" s="71"/>
      <c r="G81" s="42" t="s">
        <v>170</v>
      </c>
      <c r="H81" s="44" t="s">
        <v>174</v>
      </c>
      <c r="I81" s="61" t="s">
        <v>176</v>
      </c>
      <c r="J81" s="71"/>
    </row>
    <row r="82" spans="2:10" ht="18" thickBot="1">
      <c r="B82" s="80"/>
      <c r="C82" s="71"/>
      <c r="D82" s="78"/>
      <c r="E82" s="72"/>
      <c r="F82" s="72"/>
      <c r="G82" s="46" t="s">
        <v>170</v>
      </c>
      <c r="H82" s="45" t="s">
        <v>177</v>
      </c>
      <c r="I82" s="62" t="s">
        <v>178</v>
      </c>
      <c r="J82" s="72"/>
    </row>
    <row r="83" spans="2:10" ht="35">
      <c r="B83" s="80"/>
      <c r="C83" s="71"/>
      <c r="D83" s="76" t="s">
        <v>130</v>
      </c>
      <c r="E83" s="70" t="s">
        <v>131</v>
      </c>
      <c r="F83" s="70" t="s">
        <v>55</v>
      </c>
      <c r="G83" s="73" t="s">
        <v>167</v>
      </c>
      <c r="H83" s="73" t="s">
        <v>168</v>
      </c>
      <c r="I83" s="60" t="s">
        <v>108</v>
      </c>
      <c r="J83" s="70" t="s">
        <v>179</v>
      </c>
    </row>
    <row r="84" spans="2:10" ht="35">
      <c r="B84" s="80"/>
      <c r="C84" s="71"/>
      <c r="D84" s="77"/>
      <c r="E84" s="71"/>
      <c r="F84" s="71"/>
      <c r="G84" s="74"/>
      <c r="H84" s="74"/>
      <c r="I84" s="61" t="s">
        <v>109</v>
      </c>
      <c r="J84" s="71"/>
    </row>
    <row r="85" spans="2:10" ht="18" thickBot="1">
      <c r="B85" s="80"/>
      <c r="C85" s="71"/>
      <c r="D85" s="78"/>
      <c r="E85" s="72"/>
      <c r="F85" s="72"/>
      <c r="G85" s="75"/>
      <c r="H85" s="75"/>
      <c r="I85" s="62" t="s">
        <v>110</v>
      </c>
      <c r="J85" s="72"/>
    </row>
    <row r="86" spans="2:10" ht="35">
      <c r="B86" s="80"/>
      <c r="C86" s="71"/>
      <c r="D86" s="70" t="s">
        <v>78</v>
      </c>
      <c r="E86" s="36" t="s">
        <v>134</v>
      </c>
      <c r="F86" s="70" t="s">
        <v>114</v>
      </c>
      <c r="G86" s="73" t="s">
        <v>167</v>
      </c>
      <c r="H86" s="73" t="s">
        <v>168</v>
      </c>
      <c r="I86" s="60" t="s">
        <v>108</v>
      </c>
      <c r="J86" s="70" t="s">
        <v>169</v>
      </c>
    </row>
    <row r="87" spans="2:10" ht="35">
      <c r="B87" s="80"/>
      <c r="C87" s="71"/>
      <c r="D87" s="71"/>
      <c r="E87" s="42" t="s">
        <v>136</v>
      </c>
      <c r="F87" s="71"/>
      <c r="G87" s="74"/>
      <c r="H87" s="74"/>
      <c r="I87" s="61" t="s">
        <v>109</v>
      </c>
      <c r="J87" s="71"/>
    </row>
    <row r="88" spans="2:10" ht="18" thickBot="1">
      <c r="B88" s="80"/>
      <c r="C88" s="71"/>
      <c r="D88" s="72"/>
      <c r="E88" s="46" t="s">
        <v>137</v>
      </c>
      <c r="F88" s="72"/>
      <c r="G88" s="75"/>
      <c r="H88" s="75"/>
      <c r="I88" s="62" t="s">
        <v>110</v>
      </c>
      <c r="J88" s="72"/>
    </row>
    <row r="89" spans="2:10" ht="35">
      <c r="B89" s="80"/>
      <c r="C89" s="71"/>
      <c r="D89" s="70" t="s">
        <v>78</v>
      </c>
      <c r="E89" s="36" t="s">
        <v>134</v>
      </c>
      <c r="F89" s="70" t="s">
        <v>138</v>
      </c>
      <c r="G89" s="73" t="s">
        <v>167</v>
      </c>
      <c r="H89" s="73" t="s">
        <v>167</v>
      </c>
      <c r="I89" s="60" t="s">
        <v>108</v>
      </c>
      <c r="J89" s="70" t="s">
        <v>169</v>
      </c>
    </row>
    <row r="90" spans="2:10" ht="35">
      <c r="B90" s="80"/>
      <c r="C90" s="71"/>
      <c r="D90" s="71"/>
      <c r="E90" s="42" t="s">
        <v>136</v>
      </c>
      <c r="F90" s="71"/>
      <c r="G90" s="74"/>
      <c r="H90" s="74"/>
      <c r="I90" s="61" t="s">
        <v>109</v>
      </c>
      <c r="J90" s="71"/>
    </row>
    <row r="91" spans="2:10" ht="18" thickBot="1">
      <c r="B91" s="81"/>
      <c r="C91" s="72"/>
      <c r="D91" s="72"/>
      <c r="E91" s="46" t="s">
        <v>140</v>
      </c>
      <c r="F91" s="72"/>
      <c r="G91" s="75"/>
      <c r="H91" s="75"/>
      <c r="I91" s="62" t="s">
        <v>110</v>
      </c>
      <c r="J91" s="72"/>
    </row>
    <row r="92" spans="2:10" ht="16" thickTop="1"/>
  </sheetData>
  <mergeCells count="102">
    <mergeCell ref="I8:I9"/>
    <mergeCell ref="J8:J9"/>
    <mergeCell ref="I6:I7"/>
    <mergeCell ref="J6:J7"/>
    <mergeCell ref="D22:D23"/>
    <mergeCell ref="E22:E23"/>
    <mergeCell ref="G22:G23"/>
    <mergeCell ref="H22:H23"/>
    <mergeCell ref="I22:I23"/>
    <mergeCell ref="D13:D15"/>
    <mergeCell ref="E13:E15"/>
    <mergeCell ref="F13:F15"/>
    <mergeCell ref="G13:G15"/>
    <mergeCell ref="I13:I15"/>
    <mergeCell ref="J13:J15"/>
    <mergeCell ref="D10:D12"/>
    <mergeCell ref="F10:F12"/>
    <mergeCell ref="G10:G12"/>
    <mergeCell ref="I10:I12"/>
    <mergeCell ref="J10:J12"/>
    <mergeCell ref="D19:D21"/>
    <mergeCell ref="E19:E21"/>
    <mergeCell ref="F19:F21"/>
    <mergeCell ref="G19:G21"/>
    <mergeCell ref="D16:D18"/>
    <mergeCell ref="G16:G18"/>
    <mergeCell ref="I16:I18"/>
    <mergeCell ref="J16:J18"/>
    <mergeCell ref="C27:C28"/>
    <mergeCell ref="D27:D28"/>
    <mergeCell ref="F27:F28"/>
    <mergeCell ref="G27:G28"/>
    <mergeCell ref="H27:H28"/>
    <mergeCell ref="I27:I28"/>
    <mergeCell ref="D24:D26"/>
    <mergeCell ref="G24:G26"/>
    <mergeCell ref="I24:I26"/>
    <mergeCell ref="J24:J26"/>
    <mergeCell ref="C10:C26"/>
    <mergeCell ref="I19:I21"/>
    <mergeCell ref="J19:J21"/>
    <mergeCell ref="B29:B52"/>
    <mergeCell ref="C29:C33"/>
    <mergeCell ref="E29:E30"/>
    <mergeCell ref="F29:F30"/>
    <mergeCell ref="G29:G30"/>
    <mergeCell ref="H29:H30"/>
    <mergeCell ref="I29:I30"/>
    <mergeCell ref="J29:J30"/>
    <mergeCell ref="B4:B28"/>
    <mergeCell ref="C4:C9"/>
    <mergeCell ref="D6:D7"/>
    <mergeCell ref="E6:E7"/>
    <mergeCell ref="F6:F7"/>
    <mergeCell ref="G6:G7"/>
    <mergeCell ref="D8:D9"/>
    <mergeCell ref="E8:E9"/>
    <mergeCell ref="F8:F9"/>
    <mergeCell ref="G8:G9"/>
    <mergeCell ref="C34:C37"/>
    <mergeCell ref="D34:D35"/>
    <mergeCell ref="F34:F35"/>
    <mergeCell ref="G34:G35"/>
    <mergeCell ref="I34:I35"/>
    <mergeCell ref="D36:D37"/>
    <mergeCell ref="G36:G37"/>
    <mergeCell ref="H36:H37"/>
    <mergeCell ref="I36:I37"/>
    <mergeCell ref="D31:D33"/>
    <mergeCell ref="E31:E33"/>
    <mergeCell ref="F31:F33"/>
    <mergeCell ref="G31:G33"/>
    <mergeCell ref="I31:I33"/>
    <mergeCell ref="J31:J33"/>
    <mergeCell ref="J34:J35"/>
    <mergeCell ref="C38:C52"/>
    <mergeCell ref="D38:D40"/>
    <mergeCell ref="E38:E40"/>
    <mergeCell ref="F38:F40"/>
    <mergeCell ref="G38:G40"/>
    <mergeCell ref="I38:I40"/>
    <mergeCell ref="D50:D52"/>
    <mergeCell ref="F50:F52"/>
    <mergeCell ref="G50:G52"/>
    <mergeCell ref="I50:I52"/>
    <mergeCell ref="D47:D49"/>
    <mergeCell ref="F47:F49"/>
    <mergeCell ref="G47:G49"/>
    <mergeCell ref="I47:I49"/>
    <mergeCell ref="J47:J49"/>
    <mergeCell ref="J38:J40"/>
    <mergeCell ref="D41:D43"/>
    <mergeCell ref="E41:E43"/>
    <mergeCell ref="F41:F43"/>
    <mergeCell ref="G41:G43"/>
    <mergeCell ref="I41:I43"/>
    <mergeCell ref="J41:J43"/>
    <mergeCell ref="D44:D46"/>
    <mergeCell ref="E44:E46"/>
    <mergeCell ref="F44:F46"/>
    <mergeCell ref="G44:G46"/>
    <mergeCell ref="I44:I46"/>
  </mergeCells>
  <pageMargins left="0.7" right="0.7" top="0.75" bottom="0.75" header="0.3" footer="0.3"/>
  <pageSetup paperSize="9" orientation="portrait" horizontalDpi="0" verticalDpi="0"/>
  <headerFooter>
    <oddFooter>&amp;L_x000D_&amp;1#&amp;"Calibri"&amp;10&amp;K000000 Aequs Internal-Strictly this data should remain with Aequs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94F58-7D1A-E248-9888-B42F8A969D74}">
  <dimension ref="A1:F82"/>
  <sheetViews>
    <sheetView topLeftCell="A64" zoomScale="75" workbookViewId="0">
      <selection activeCell="N63" sqref="N63"/>
    </sheetView>
  </sheetViews>
  <sheetFormatPr defaultColWidth="11" defaultRowHeight="15.5"/>
  <cols>
    <col min="2" max="2" width="20.921875" customWidth="1"/>
    <col min="3" max="3" width="39.61328125" bestFit="1" customWidth="1"/>
    <col min="5" max="5" width="18.61328125" bestFit="1" customWidth="1"/>
  </cols>
  <sheetData>
    <row r="1" spans="1:6">
      <c r="A1" s="230" t="s">
        <v>180</v>
      </c>
      <c r="B1" s="230"/>
      <c r="C1" s="230"/>
      <c r="D1" s="230"/>
      <c r="E1" s="230"/>
      <c r="F1" s="230"/>
    </row>
    <row r="2" spans="1:6">
      <c r="A2" s="231"/>
      <c r="B2" s="231"/>
      <c r="C2" s="231"/>
      <c r="D2" s="231"/>
      <c r="E2" s="231"/>
      <c r="F2" s="231"/>
    </row>
    <row r="3" spans="1:6">
      <c r="A3" s="119" t="s">
        <v>181</v>
      </c>
      <c r="B3" s="119"/>
      <c r="C3" s="119"/>
      <c r="D3" s="119"/>
      <c r="E3" s="119"/>
      <c r="F3" s="119"/>
    </row>
    <row r="4" spans="1:6">
      <c r="A4" s="32" t="s">
        <v>182</v>
      </c>
      <c r="B4" s="25" t="s">
        <v>183</v>
      </c>
      <c r="C4" s="25" t="s">
        <v>55</v>
      </c>
      <c r="D4" s="34" t="s">
        <v>184</v>
      </c>
      <c r="E4" s="26" t="s">
        <v>185</v>
      </c>
      <c r="F4" s="25" t="s">
        <v>139</v>
      </c>
    </row>
    <row r="5" spans="1:6">
      <c r="A5" s="32" t="s">
        <v>182</v>
      </c>
      <c r="B5" s="25" t="s">
        <v>186</v>
      </c>
      <c r="C5" s="25" t="s">
        <v>55</v>
      </c>
      <c r="D5" s="34" t="s">
        <v>187</v>
      </c>
      <c r="E5" s="26" t="s">
        <v>188</v>
      </c>
      <c r="F5" s="25" t="s">
        <v>139</v>
      </c>
    </row>
    <row r="6" spans="1:6">
      <c r="A6" s="32" t="s">
        <v>182</v>
      </c>
      <c r="B6" s="25" t="s">
        <v>189</v>
      </c>
      <c r="C6" s="25" t="s">
        <v>55</v>
      </c>
      <c r="D6" s="34" t="s">
        <v>187</v>
      </c>
      <c r="E6" s="26" t="s">
        <v>188</v>
      </c>
      <c r="F6" s="25" t="s">
        <v>139</v>
      </c>
    </row>
    <row r="7" spans="1:6">
      <c r="A7" s="32" t="s">
        <v>182</v>
      </c>
      <c r="B7" s="232" t="s">
        <v>190</v>
      </c>
      <c r="C7" s="25" t="s">
        <v>191</v>
      </c>
      <c r="D7" s="233" t="s">
        <v>192</v>
      </c>
      <c r="E7" s="234" t="s">
        <v>193</v>
      </c>
      <c r="F7" s="232" t="s">
        <v>190</v>
      </c>
    </row>
    <row r="8" spans="1:6">
      <c r="A8" s="32" t="s">
        <v>182</v>
      </c>
      <c r="B8" s="232"/>
      <c r="C8" s="25" t="s">
        <v>194</v>
      </c>
      <c r="D8" s="233"/>
      <c r="E8" s="234"/>
      <c r="F8" s="232"/>
    </row>
    <row r="9" spans="1:6">
      <c r="A9" s="32" t="s">
        <v>182</v>
      </c>
      <c r="B9" s="25" t="s">
        <v>195</v>
      </c>
      <c r="C9" s="25" t="s">
        <v>196</v>
      </c>
      <c r="D9" s="34" t="s">
        <v>197</v>
      </c>
      <c r="E9" s="26" t="s">
        <v>198</v>
      </c>
      <c r="F9" s="25" t="s">
        <v>199</v>
      </c>
    </row>
    <row r="10" spans="1:6">
      <c r="A10" s="32" t="s">
        <v>182</v>
      </c>
      <c r="B10" s="25" t="s">
        <v>200</v>
      </c>
      <c r="C10" s="25" t="s">
        <v>201</v>
      </c>
      <c r="D10" s="34" t="s">
        <v>202</v>
      </c>
      <c r="E10" s="26" t="s">
        <v>59</v>
      </c>
      <c r="F10" s="25" t="s">
        <v>199</v>
      </c>
    </row>
    <row r="11" spans="1:6">
      <c r="A11" s="32" t="s">
        <v>182</v>
      </c>
      <c r="B11" s="25" t="s">
        <v>203</v>
      </c>
      <c r="C11" s="25" t="s">
        <v>204</v>
      </c>
      <c r="D11" s="34" t="s">
        <v>205</v>
      </c>
      <c r="E11" s="26" t="s">
        <v>206</v>
      </c>
      <c r="F11" s="25" t="s">
        <v>207</v>
      </c>
    </row>
    <row r="12" spans="1:6">
      <c r="A12" s="32" t="s">
        <v>182</v>
      </c>
      <c r="B12" s="25" t="s">
        <v>208</v>
      </c>
      <c r="C12" s="25" t="s">
        <v>204</v>
      </c>
      <c r="D12" s="34" t="s">
        <v>205</v>
      </c>
      <c r="E12" s="26" t="s">
        <v>206</v>
      </c>
      <c r="F12" s="25" t="s">
        <v>207</v>
      </c>
    </row>
    <row r="13" spans="1:6">
      <c r="A13" s="32" t="s">
        <v>182</v>
      </c>
      <c r="B13" s="25" t="s">
        <v>209</v>
      </c>
      <c r="C13" s="25" t="s">
        <v>204</v>
      </c>
      <c r="D13" s="34" t="s">
        <v>205</v>
      </c>
      <c r="E13" s="26" t="s">
        <v>206</v>
      </c>
      <c r="F13" s="25" t="s">
        <v>207</v>
      </c>
    </row>
    <row r="14" spans="1:6">
      <c r="A14" s="32" t="s">
        <v>182</v>
      </c>
      <c r="B14" s="25" t="s">
        <v>210</v>
      </c>
      <c r="C14" s="25" t="s">
        <v>204</v>
      </c>
      <c r="D14" s="34" t="s">
        <v>211</v>
      </c>
      <c r="E14" s="26" t="s">
        <v>206</v>
      </c>
      <c r="F14" s="25" t="s">
        <v>207</v>
      </c>
    </row>
    <row r="15" spans="1:6">
      <c r="A15" s="32" t="s">
        <v>182</v>
      </c>
      <c r="B15" s="25" t="s">
        <v>212</v>
      </c>
      <c r="C15" s="25" t="s">
        <v>204</v>
      </c>
      <c r="D15" s="34" t="s">
        <v>213</v>
      </c>
      <c r="E15" s="26" t="s">
        <v>206</v>
      </c>
      <c r="F15" s="25" t="s">
        <v>207</v>
      </c>
    </row>
    <row r="16" spans="1:6">
      <c r="A16" s="32" t="s">
        <v>182</v>
      </c>
      <c r="B16" s="25" t="s">
        <v>214</v>
      </c>
      <c r="C16" s="25" t="s">
        <v>215</v>
      </c>
      <c r="D16" s="34" t="s">
        <v>216</v>
      </c>
      <c r="E16" s="26" t="s">
        <v>217</v>
      </c>
      <c r="F16" s="25" t="s">
        <v>218</v>
      </c>
    </row>
    <row r="17" spans="1:6">
      <c r="A17" s="32" t="s">
        <v>182</v>
      </c>
      <c r="B17" s="25" t="s">
        <v>219</v>
      </c>
      <c r="C17" s="25" t="s">
        <v>220</v>
      </c>
      <c r="D17" s="34" t="s">
        <v>205</v>
      </c>
      <c r="E17" s="26" t="s">
        <v>59</v>
      </c>
      <c r="F17" s="25" t="s">
        <v>221</v>
      </c>
    </row>
    <row r="18" spans="1:6">
      <c r="A18" s="32" t="s">
        <v>182</v>
      </c>
      <c r="B18" s="25" t="s">
        <v>222</v>
      </c>
      <c r="C18" s="25" t="s">
        <v>223</v>
      </c>
      <c r="D18" s="34" t="s">
        <v>224</v>
      </c>
      <c r="E18" s="26" t="s">
        <v>59</v>
      </c>
      <c r="F18" s="25" t="s">
        <v>221</v>
      </c>
    </row>
    <row r="19" spans="1:6">
      <c r="A19" s="32" t="s">
        <v>182</v>
      </c>
      <c r="B19" s="25" t="s">
        <v>225</v>
      </c>
      <c r="C19" s="25" t="s">
        <v>226</v>
      </c>
      <c r="D19" s="34" t="s">
        <v>205</v>
      </c>
      <c r="E19" s="26" t="s">
        <v>227</v>
      </c>
      <c r="F19" s="25" t="s">
        <v>228</v>
      </c>
    </row>
    <row r="20" spans="1:6">
      <c r="A20" s="32" t="s">
        <v>182</v>
      </c>
      <c r="B20" s="25" t="s">
        <v>37</v>
      </c>
      <c r="C20" s="25" t="s">
        <v>229</v>
      </c>
      <c r="D20" s="34" t="s">
        <v>230</v>
      </c>
      <c r="E20" s="26" t="s">
        <v>227</v>
      </c>
      <c r="F20" s="25" t="s">
        <v>231</v>
      </c>
    </row>
    <row r="21" spans="1:6">
      <c r="A21" s="32" t="s">
        <v>182</v>
      </c>
      <c r="B21" s="25" t="s">
        <v>31</v>
      </c>
      <c r="C21" s="25" t="s">
        <v>232</v>
      </c>
      <c r="D21" s="34" t="s">
        <v>233</v>
      </c>
      <c r="E21" s="26" t="s">
        <v>227</v>
      </c>
      <c r="F21" s="25" t="s">
        <v>234</v>
      </c>
    </row>
    <row r="22" spans="1:6">
      <c r="A22" s="32" t="s">
        <v>182</v>
      </c>
      <c r="B22" s="25" t="s">
        <v>33</v>
      </c>
      <c r="C22" s="25" t="s">
        <v>232</v>
      </c>
      <c r="D22" s="34" t="s">
        <v>233</v>
      </c>
      <c r="E22" s="26" t="s">
        <v>227</v>
      </c>
      <c r="F22" s="25" t="s">
        <v>34</v>
      </c>
    </row>
    <row r="23" spans="1:6">
      <c r="A23" s="32" t="s">
        <v>182</v>
      </c>
      <c r="B23" s="25" t="s">
        <v>35</v>
      </c>
      <c r="C23" s="25" t="s">
        <v>232</v>
      </c>
      <c r="D23" s="34" t="s">
        <v>233</v>
      </c>
      <c r="E23" s="26" t="s">
        <v>227</v>
      </c>
      <c r="F23" s="25" t="s">
        <v>36</v>
      </c>
    </row>
    <row r="24" spans="1:6">
      <c r="A24" s="32" t="s">
        <v>182</v>
      </c>
      <c r="B24" s="25" t="s">
        <v>235</v>
      </c>
      <c r="C24" s="25" t="s">
        <v>236</v>
      </c>
      <c r="D24" s="34" t="s">
        <v>205</v>
      </c>
      <c r="E24" s="26" t="s">
        <v>237</v>
      </c>
      <c r="F24" s="25" t="s">
        <v>221</v>
      </c>
    </row>
    <row r="25" spans="1:6">
      <c r="A25" s="32" t="s">
        <v>182</v>
      </c>
      <c r="B25" s="25" t="s">
        <v>238</v>
      </c>
      <c r="C25" s="25" t="s">
        <v>239</v>
      </c>
      <c r="D25" s="34" t="s">
        <v>202</v>
      </c>
      <c r="E25" s="26" t="s">
        <v>237</v>
      </c>
      <c r="F25" s="25" t="s">
        <v>221</v>
      </c>
    </row>
    <row r="26" spans="1:6">
      <c r="A26" s="32" t="s">
        <v>182</v>
      </c>
      <c r="B26" s="25" t="s">
        <v>240</v>
      </c>
      <c r="C26" s="25" t="s">
        <v>241</v>
      </c>
      <c r="D26" s="34" t="s">
        <v>242</v>
      </c>
      <c r="E26" s="26" t="s">
        <v>59</v>
      </c>
      <c r="F26" s="25" t="s">
        <v>22</v>
      </c>
    </row>
    <row r="27" spans="1:6">
      <c r="A27" s="32" t="s">
        <v>182</v>
      </c>
      <c r="B27" s="25" t="s">
        <v>243</v>
      </c>
      <c r="C27" s="25" t="s">
        <v>244</v>
      </c>
      <c r="D27" s="34" t="s">
        <v>245</v>
      </c>
      <c r="E27" s="26" t="s">
        <v>97</v>
      </c>
      <c r="F27" s="25" t="s">
        <v>221</v>
      </c>
    </row>
    <row r="28" spans="1:6">
      <c r="A28" s="32" t="s">
        <v>182</v>
      </c>
      <c r="B28" s="25" t="s">
        <v>246</v>
      </c>
      <c r="C28" s="25" t="s">
        <v>244</v>
      </c>
      <c r="D28" s="34" t="s">
        <v>245</v>
      </c>
      <c r="E28" s="26" t="s">
        <v>53</v>
      </c>
      <c r="F28" s="25" t="s">
        <v>221</v>
      </c>
    </row>
    <row r="29" spans="1:6">
      <c r="A29" s="68" t="s">
        <v>247</v>
      </c>
      <c r="B29" s="34" t="s">
        <v>183</v>
      </c>
      <c r="C29" s="34" t="s">
        <v>55</v>
      </c>
      <c r="D29" s="34">
        <v>2</v>
      </c>
      <c r="E29" s="34" t="s">
        <v>248</v>
      </c>
      <c r="F29" s="34" t="s">
        <v>139</v>
      </c>
    </row>
    <row r="30" spans="1:6">
      <c r="A30" s="68" t="s">
        <v>247</v>
      </c>
      <c r="B30" s="34" t="s">
        <v>186</v>
      </c>
      <c r="C30" s="34" t="s">
        <v>55</v>
      </c>
      <c r="D30" s="34">
        <v>2</v>
      </c>
      <c r="E30" s="34" t="s">
        <v>248</v>
      </c>
      <c r="F30" s="34" t="s">
        <v>139</v>
      </c>
    </row>
    <row r="31" spans="1:6">
      <c r="A31" s="68" t="s">
        <v>247</v>
      </c>
      <c r="B31" s="34" t="s">
        <v>189</v>
      </c>
      <c r="C31" s="34" t="s">
        <v>55</v>
      </c>
      <c r="D31" s="34">
        <v>2</v>
      </c>
      <c r="E31" s="34" t="s">
        <v>248</v>
      </c>
      <c r="F31" s="34" t="s">
        <v>139</v>
      </c>
    </row>
    <row r="32" spans="1:6">
      <c r="A32" s="68" t="s">
        <v>247</v>
      </c>
      <c r="B32" s="34" t="s">
        <v>249</v>
      </c>
      <c r="C32" s="34" t="s">
        <v>194</v>
      </c>
      <c r="D32" s="34"/>
      <c r="E32" s="34"/>
      <c r="F32" s="34" t="s">
        <v>249</v>
      </c>
    </row>
    <row r="33" spans="1:6">
      <c r="A33" s="68" t="s">
        <v>247</v>
      </c>
      <c r="B33" s="34" t="s">
        <v>195</v>
      </c>
      <c r="C33" s="34" t="s">
        <v>196</v>
      </c>
      <c r="D33" s="34" t="s">
        <v>250</v>
      </c>
      <c r="E33" s="34" t="s">
        <v>185</v>
      </c>
      <c r="F33" s="34" t="s">
        <v>199</v>
      </c>
    </row>
    <row r="34" spans="1:6">
      <c r="A34" s="68" t="s">
        <v>247</v>
      </c>
      <c r="B34" s="34" t="s">
        <v>251</v>
      </c>
      <c r="C34" s="34" t="s">
        <v>215</v>
      </c>
      <c r="D34" s="34">
        <v>96</v>
      </c>
      <c r="E34" s="34" t="s">
        <v>53</v>
      </c>
      <c r="F34" s="34" t="s">
        <v>218</v>
      </c>
    </row>
    <row r="35" spans="1:6">
      <c r="A35" s="68" t="s">
        <v>247</v>
      </c>
      <c r="B35" s="34" t="s">
        <v>219</v>
      </c>
      <c r="C35" s="34" t="s">
        <v>220</v>
      </c>
      <c r="D35" s="34">
        <v>72</v>
      </c>
      <c r="E35" s="34" t="s">
        <v>252</v>
      </c>
      <c r="F35" s="34" t="s">
        <v>221</v>
      </c>
    </row>
    <row r="36" spans="1:6">
      <c r="A36" s="68" t="s">
        <v>247</v>
      </c>
      <c r="B36" s="34" t="s">
        <v>253</v>
      </c>
      <c r="C36" s="34" t="s">
        <v>254</v>
      </c>
      <c r="D36" s="34">
        <v>48</v>
      </c>
      <c r="E36" s="34" t="s">
        <v>255</v>
      </c>
      <c r="F36" s="34" t="s">
        <v>228</v>
      </c>
    </row>
    <row r="37" spans="1:6">
      <c r="A37" s="68" t="s">
        <v>247</v>
      </c>
      <c r="B37" s="34" t="s">
        <v>37</v>
      </c>
      <c r="C37" s="34" t="s">
        <v>229</v>
      </c>
      <c r="D37" s="34">
        <v>72</v>
      </c>
      <c r="E37" s="34" t="s">
        <v>255</v>
      </c>
      <c r="F37" s="34" t="s">
        <v>231</v>
      </c>
    </row>
    <row r="38" spans="1:6">
      <c r="A38" s="68" t="s">
        <v>247</v>
      </c>
      <c r="B38" s="34" t="s">
        <v>31</v>
      </c>
      <c r="C38" s="34" t="s">
        <v>232</v>
      </c>
      <c r="D38" s="34">
        <v>72</v>
      </c>
      <c r="E38" s="34" t="s">
        <v>255</v>
      </c>
      <c r="F38" s="34" t="s">
        <v>234</v>
      </c>
    </row>
    <row r="39" spans="1:6">
      <c r="A39" s="68" t="s">
        <v>247</v>
      </c>
      <c r="B39" s="34" t="s">
        <v>33</v>
      </c>
      <c r="C39" s="34" t="s">
        <v>232</v>
      </c>
      <c r="D39" s="34">
        <v>72</v>
      </c>
      <c r="E39" s="34" t="s">
        <v>255</v>
      </c>
      <c r="F39" s="34" t="s">
        <v>34</v>
      </c>
    </row>
    <row r="40" spans="1:6">
      <c r="A40" s="68" t="s">
        <v>247</v>
      </c>
      <c r="B40" s="34" t="s">
        <v>256</v>
      </c>
      <c r="C40" s="34" t="s">
        <v>239</v>
      </c>
      <c r="D40" s="34">
        <v>24</v>
      </c>
      <c r="E40" s="34" t="s">
        <v>237</v>
      </c>
      <c r="F40" s="34" t="s">
        <v>221</v>
      </c>
    </row>
    <row r="41" spans="1:6">
      <c r="A41" s="68" t="s">
        <v>247</v>
      </c>
      <c r="B41" s="34" t="s">
        <v>257</v>
      </c>
      <c r="C41" s="34" t="s">
        <v>239</v>
      </c>
      <c r="D41" s="34">
        <v>24</v>
      </c>
      <c r="E41" s="34" t="s">
        <v>97</v>
      </c>
      <c r="F41" s="34" t="s">
        <v>221</v>
      </c>
    </row>
    <row r="42" spans="1:6">
      <c r="A42" s="68" t="s">
        <v>247</v>
      </c>
      <c r="B42" s="34" t="s">
        <v>258</v>
      </c>
      <c r="C42" s="34" t="s">
        <v>239</v>
      </c>
      <c r="D42" s="34">
        <v>24</v>
      </c>
      <c r="E42" s="34" t="s">
        <v>97</v>
      </c>
      <c r="F42" s="34"/>
    </row>
    <row r="43" spans="1:6">
      <c r="A43" s="68" t="s">
        <v>247</v>
      </c>
      <c r="B43" s="34" t="s">
        <v>240</v>
      </c>
      <c r="C43" s="34" t="s">
        <v>241</v>
      </c>
      <c r="D43" s="34">
        <v>240</v>
      </c>
      <c r="E43" s="34" t="s">
        <v>252</v>
      </c>
      <c r="F43" s="34" t="s">
        <v>22</v>
      </c>
    </row>
    <row r="44" spans="1:6">
      <c r="A44" s="68" t="s">
        <v>247</v>
      </c>
      <c r="B44" s="34" t="s">
        <v>259</v>
      </c>
      <c r="C44" s="34" t="s">
        <v>244</v>
      </c>
      <c r="D44" s="34">
        <v>72</v>
      </c>
      <c r="E44" s="34" t="s">
        <v>97</v>
      </c>
      <c r="F44" s="34" t="s">
        <v>221</v>
      </c>
    </row>
    <row r="45" spans="1:6" ht="31.5">
      <c r="A45" s="68" t="s">
        <v>247</v>
      </c>
      <c r="B45" s="69" t="s">
        <v>260</v>
      </c>
      <c r="C45" s="69" t="s">
        <v>261</v>
      </c>
      <c r="D45" s="34">
        <v>24</v>
      </c>
      <c r="E45" s="34" t="s">
        <v>97</v>
      </c>
      <c r="F45" s="34" t="s">
        <v>221</v>
      </c>
    </row>
    <row r="46" spans="1:6" ht="31.5">
      <c r="A46" s="68" t="s">
        <v>247</v>
      </c>
      <c r="B46" s="69" t="s">
        <v>262</v>
      </c>
      <c r="C46" s="69" t="s">
        <v>261</v>
      </c>
      <c r="D46" s="34">
        <v>24</v>
      </c>
      <c r="E46" s="34" t="s">
        <v>97</v>
      </c>
      <c r="F46" s="34" t="s">
        <v>221</v>
      </c>
    </row>
    <row r="47" spans="1:6" ht="31.5">
      <c r="A47" s="68" t="s">
        <v>247</v>
      </c>
      <c r="B47" s="69" t="s">
        <v>263</v>
      </c>
      <c r="C47" s="69" t="s">
        <v>261</v>
      </c>
      <c r="D47" s="34">
        <v>24</v>
      </c>
      <c r="E47" s="34" t="s">
        <v>97</v>
      </c>
      <c r="F47" s="34" t="s">
        <v>221</v>
      </c>
    </row>
    <row r="49" spans="1:6" ht="31">
      <c r="A49" s="87" t="s">
        <v>264</v>
      </c>
      <c r="B49" s="88" t="s">
        <v>50</v>
      </c>
      <c r="D49" s="87"/>
      <c r="E49" s="88" t="s">
        <v>53</v>
      </c>
      <c r="F49" s="87" t="s">
        <v>265</v>
      </c>
    </row>
    <row r="50" spans="1:6">
      <c r="A50" s="87" t="s">
        <v>48</v>
      </c>
      <c r="B50" s="88" t="s">
        <v>56</v>
      </c>
      <c r="D50" s="87"/>
      <c r="E50" s="88" t="s">
        <v>53</v>
      </c>
      <c r="F50" s="120" t="s">
        <v>266</v>
      </c>
    </row>
    <row r="51" spans="1:6">
      <c r="A51" s="87" t="s">
        <v>48</v>
      </c>
      <c r="B51" s="92" t="s">
        <v>58</v>
      </c>
      <c r="D51" s="87"/>
      <c r="E51" s="88" t="s">
        <v>59</v>
      </c>
      <c r="F51" s="87" t="s">
        <v>267</v>
      </c>
    </row>
    <row r="52" spans="1:6">
      <c r="A52" s="87" t="s">
        <v>48</v>
      </c>
      <c r="B52" s="92" t="s">
        <v>63</v>
      </c>
      <c r="D52" s="87"/>
      <c r="E52" s="88" t="s">
        <v>59</v>
      </c>
      <c r="F52" s="87" t="s">
        <v>267</v>
      </c>
    </row>
    <row r="53" spans="1:6" ht="46.5">
      <c r="A53" s="87" t="s">
        <v>48</v>
      </c>
      <c r="B53" s="92" t="s">
        <v>268</v>
      </c>
      <c r="D53" s="87" t="s">
        <v>69</v>
      </c>
      <c r="E53" s="88" t="s">
        <v>59</v>
      </c>
      <c r="F53" s="87" t="s">
        <v>78</v>
      </c>
    </row>
    <row r="54" spans="1:6" ht="62">
      <c r="A54" s="87" t="s">
        <v>48</v>
      </c>
      <c r="B54" s="92" t="s">
        <v>269</v>
      </c>
      <c r="D54" s="87" t="s">
        <v>77</v>
      </c>
      <c r="E54" s="88" t="s">
        <v>59</v>
      </c>
      <c r="F54" s="87" t="s">
        <v>78</v>
      </c>
    </row>
    <row r="55" spans="1:6" ht="31">
      <c r="A55" s="87" t="s">
        <v>48</v>
      </c>
      <c r="B55" s="92" t="s">
        <v>270</v>
      </c>
      <c r="D55" s="87">
        <v>500</v>
      </c>
      <c r="E55" s="88" t="s">
        <v>53</v>
      </c>
      <c r="F55" s="87" t="s">
        <v>78</v>
      </c>
    </row>
    <row r="56" spans="1:6" ht="31">
      <c r="A56" s="87" t="s">
        <v>48</v>
      </c>
      <c r="B56" s="92" t="s">
        <v>271</v>
      </c>
      <c r="D56" s="87" t="s">
        <v>85</v>
      </c>
      <c r="E56" s="88" t="s">
        <v>53</v>
      </c>
      <c r="F56" s="87" t="s">
        <v>272</v>
      </c>
    </row>
    <row r="57" spans="1:6" ht="31">
      <c r="A57" s="87" t="s">
        <v>48</v>
      </c>
      <c r="B57" s="92" t="s">
        <v>273</v>
      </c>
      <c r="D57" s="87">
        <v>600</v>
      </c>
      <c r="E57" s="88" t="s">
        <v>53</v>
      </c>
      <c r="F57" s="89" t="s">
        <v>22</v>
      </c>
    </row>
    <row r="58" spans="1:6" ht="46.5">
      <c r="A58" s="87" t="s">
        <v>48</v>
      </c>
      <c r="B58" s="92" t="s">
        <v>274</v>
      </c>
      <c r="D58" s="87">
        <v>500</v>
      </c>
      <c r="E58" s="88" t="s">
        <v>59</v>
      </c>
      <c r="F58" s="90" t="s">
        <v>275</v>
      </c>
    </row>
    <row r="59" spans="1:6" ht="31">
      <c r="A59" s="87" t="s">
        <v>48</v>
      </c>
      <c r="B59" s="92" t="s">
        <v>276</v>
      </c>
      <c r="D59" s="87" t="s">
        <v>77</v>
      </c>
      <c r="E59" s="88" t="s">
        <v>97</v>
      </c>
      <c r="F59" s="87" t="s">
        <v>78</v>
      </c>
    </row>
    <row r="60" spans="1:6" ht="31">
      <c r="A60" s="87" t="s">
        <v>100</v>
      </c>
      <c r="B60" s="92" t="s">
        <v>277</v>
      </c>
      <c r="D60" s="87" t="s">
        <v>103</v>
      </c>
      <c r="E60" s="88" t="s">
        <v>53</v>
      </c>
      <c r="F60" s="87" t="s">
        <v>139</v>
      </c>
    </row>
    <row r="61" spans="1:6" ht="31">
      <c r="A61" s="87" t="s">
        <v>100</v>
      </c>
      <c r="B61" s="92" t="s">
        <v>106</v>
      </c>
      <c r="D61" s="91" t="s">
        <v>55</v>
      </c>
      <c r="E61" s="88" t="s">
        <v>107</v>
      </c>
      <c r="F61" s="87" t="s">
        <v>139</v>
      </c>
    </row>
    <row r="62" spans="1:6" ht="62">
      <c r="A62" s="87" t="s">
        <v>100</v>
      </c>
      <c r="B62" s="92" t="s">
        <v>278</v>
      </c>
      <c r="D62" s="87" t="s">
        <v>114</v>
      </c>
      <c r="E62" s="88" t="s">
        <v>115</v>
      </c>
      <c r="F62" s="87" t="s">
        <v>279</v>
      </c>
    </row>
    <row r="63" spans="1:6" ht="62">
      <c r="A63" s="87" t="s">
        <v>100</v>
      </c>
      <c r="B63" s="92" t="s">
        <v>280</v>
      </c>
      <c r="D63" s="87" t="s">
        <v>121</v>
      </c>
      <c r="E63" s="88" t="s">
        <v>122</v>
      </c>
      <c r="F63" s="87" t="s">
        <v>281</v>
      </c>
    </row>
    <row r="64" spans="1:6" ht="62">
      <c r="A64" s="87" t="s">
        <v>100</v>
      </c>
      <c r="B64" s="92" t="s">
        <v>282</v>
      </c>
      <c r="D64" s="87">
        <v>72</v>
      </c>
      <c r="E64" s="88" t="s">
        <v>53</v>
      </c>
      <c r="F64" s="87" t="s">
        <v>279</v>
      </c>
    </row>
    <row r="65" spans="1:6" ht="31">
      <c r="A65" s="87" t="s">
        <v>100</v>
      </c>
      <c r="B65" s="92" t="s">
        <v>271</v>
      </c>
      <c r="D65" s="87" t="s">
        <v>128</v>
      </c>
      <c r="E65" s="88" t="s">
        <v>129</v>
      </c>
      <c r="F65" s="87" t="s">
        <v>272</v>
      </c>
    </row>
    <row r="66" spans="1:6" ht="31">
      <c r="A66" s="87" t="s">
        <v>100</v>
      </c>
      <c r="B66" s="92" t="s">
        <v>283</v>
      </c>
      <c r="D66" s="87" t="s">
        <v>132</v>
      </c>
      <c r="E66" s="88" t="s">
        <v>53</v>
      </c>
      <c r="F66" s="87" t="s">
        <v>284</v>
      </c>
    </row>
    <row r="67" spans="1:6" ht="31">
      <c r="A67" s="87" t="s">
        <v>100</v>
      </c>
      <c r="B67" s="88" t="s">
        <v>285</v>
      </c>
      <c r="D67" s="87" t="s">
        <v>114</v>
      </c>
      <c r="E67" s="88" t="s">
        <v>107</v>
      </c>
      <c r="F67" s="87" t="s">
        <v>279</v>
      </c>
    </row>
    <row r="68" spans="1:6" ht="31">
      <c r="A68" s="87" t="s">
        <v>100</v>
      </c>
      <c r="B68" s="88" t="s">
        <v>286</v>
      </c>
      <c r="D68" s="87" t="s">
        <v>138</v>
      </c>
      <c r="E68" s="88" t="s">
        <v>53</v>
      </c>
      <c r="F68" s="87" t="s">
        <v>279</v>
      </c>
    </row>
    <row r="69" spans="1:6">
      <c r="A69" s="87" t="s">
        <v>143</v>
      </c>
      <c r="B69" s="88" t="s">
        <v>50</v>
      </c>
      <c r="D69" s="87"/>
      <c r="E69" s="95" t="s">
        <v>144</v>
      </c>
      <c r="F69" s="94" t="s">
        <v>265</v>
      </c>
    </row>
    <row r="70" spans="1:6">
      <c r="A70" s="87" t="s">
        <v>143</v>
      </c>
      <c r="B70" s="88" t="s">
        <v>56</v>
      </c>
      <c r="D70" s="87"/>
      <c r="E70" s="95" t="s">
        <v>144</v>
      </c>
      <c r="F70" s="94" t="s">
        <v>266</v>
      </c>
    </row>
    <row r="71" spans="1:6" ht="31">
      <c r="A71" s="87" t="s">
        <v>143</v>
      </c>
      <c r="B71" s="92" t="s">
        <v>83</v>
      </c>
      <c r="D71" s="87" t="s">
        <v>85</v>
      </c>
      <c r="E71" s="95" t="s">
        <v>145</v>
      </c>
      <c r="F71" s="87" t="s">
        <v>272</v>
      </c>
    </row>
    <row r="72" spans="1:6">
      <c r="A72" s="87" t="s">
        <v>143</v>
      </c>
      <c r="B72" s="92" t="s">
        <v>87</v>
      </c>
      <c r="D72" s="87">
        <v>300</v>
      </c>
      <c r="E72" s="95" t="s">
        <v>147</v>
      </c>
      <c r="F72" s="87" t="s">
        <v>22</v>
      </c>
    </row>
    <row r="73" spans="1:6">
      <c r="A73" s="87" t="s">
        <v>143</v>
      </c>
      <c r="B73" s="92" t="s">
        <v>96</v>
      </c>
      <c r="D73" s="87" t="s">
        <v>77</v>
      </c>
      <c r="E73" s="95" t="s">
        <v>152</v>
      </c>
      <c r="F73" s="87" t="s">
        <v>78</v>
      </c>
    </row>
    <row r="74" spans="1:6" ht="31">
      <c r="A74" s="87" t="s">
        <v>155</v>
      </c>
      <c r="B74" s="92" t="s">
        <v>287</v>
      </c>
      <c r="D74" s="87" t="s">
        <v>55</v>
      </c>
      <c r="E74" s="95" t="s">
        <v>156</v>
      </c>
      <c r="F74" s="87" t="s">
        <v>139</v>
      </c>
    </row>
    <row r="75" spans="1:6" ht="31">
      <c r="A75" s="87" t="s">
        <v>155</v>
      </c>
      <c r="B75" s="92" t="s">
        <v>106</v>
      </c>
      <c r="D75" s="91" t="s">
        <v>55</v>
      </c>
      <c r="E75" s="95" t="s">
        <v>288</v>
      </c>
      <c r="F75" s="87" t="s">
        <v>139</v>
      </c>
    </row>
    <row r="76" spans="1:6" ht="31">
      <c r="A76" s="87" t="s">
        <v>155</v>
      </c>
      <c r="B76" s="92" t="s">
        <v>112</v>
      </c>
      <c r="D76" s="87" t="s">
        <v>114</v>
      </c>
      <c r="E76" s="95" t="s">
        <v>160</v>
      </c>
      <c r="F76" s="87" t="s">
        <v>279</v>
      </c>
    </row>
    <row r="77" spans="1:6" ht="31">
      <c r="A77" s="87" t="s">
        <v>155</v>
      </c>
      <c r="B77" s="92" t="s">
        <v>289</v>
      </c>
      <c r="D77" s="87" t="s">
        <v>165</v>
      </c>
      <c r="E77" s="95" t="s">
        <v>160</v>
      </c>
      <c r="F77" s="87" t="s">
        <v>78</v>
      </c>
    </row>
    <row r="78" spans="1:6" ht="62">
      <c r="A78" s="87" t="s">
        <v>155</v>
      </c>
      <c r="B78" s="92" t="s">
        <v>282</v>
      </c>
      <c r="D78" s="87" t="s">
        <v>77</v>
      </c>
      <c r="E78" s="95" t="s">
        <v>167</v>
      </c>
      <c r="F78" s="87" t="s">
        <v>279</v>
      </c>
    </row>
    <row r="79" spans="1:6" ht="31">
      <c r="A79" s="87" t="s">
        <v>155</v>
      </c>
      <c r="B79" s="92" t="s">
        <v>83</v>
      </c>
      <c r="D79" s="87">
        <v>24</v>
      </c>
      <c r="E79" s="88" t="s">
        <v>170</v>
      </c>
      <c r="F79" s="87" t="s">
        <v>173</v>
      </c>
    </row>
    <row r="80" spans="1:6" ht="31">
      <c r="A80" s="87" t="s">
        <v>155</v>
      </c>
      <c r="B80" s="92" t="s">
        <v>283</v>
      </c>
      <c r="D80" s="87">
        <v>110</v>
      </c>
      <c r="E80" s="95" t="s">
        <v>167</v>
      </c>
      <c r="F80" s="87" t="s">
        <v>179</v>
      </c>
    </row>
    <row r="81" spans="1:6" ht="31">
      <c r="A81" s="87" t="s">
        <v>155</v>
      </c>
      <c r="B81" s="88" t="s">
        <v>285</v>
      </c>
      <c r="D81" s="87" t="s">
        <v>114</v>
      </c>
      <c r="E81" s="95" t="s">
        <v>167</v>
      </c>
      <c r="F81" s="87" t="s">
        <v>279</v>
      </c>
    </row>
    <row r="82" spans="1:6" ht="31">
      <c r="A82" s="87" t="s">
        <v>155</v>
      </c>
      <c r="B82" s="88" t="s">
        <v>290</v>
      </c>
      <c r="D82" s="87" t="s">
        <v>138</v>
      </c>
      <c r="E82" s="95" t="s">
        <v>167</v>
      </c>
      <c r="F82" s="87" t="s">
        <v>279</v>
      </c>
    </row>
  </sheetData>
  <mergeCells count="5">
    <mergeCell ref="A1:F2"/>
    <mergeCell ref="B7:B8"/>
    <mergeCell ref="D7:D8"/>
    <mergeCell ref="E7:E8"/>
    <mergeCell ref="F7:F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F03F3-7406-4D72-8E30-7A7DF8571FA4}">
  <dimension ref="A1:L152"/>
  <sheetViews>
    <sheetView topLeftCell="C1" zoomScale="80" zoomScaleNormal="80" workbookViewId="0">
      <selection activeCell="D1" sqref="D1"/>
    </sheetView>
  </sheetViews>
  <sheetFormatPr defaultColWidth="11" defaultRowHeight="15.5"/>
  <cols>
    <col min="1" max="1" width="37" style="121" customWidth="1"/>
    <col min="2" max="2" width="51.07421875" style="122" customWidth="1"/>
    <col min="3" max="3" width="42.3828125" style="121" customWidth="1"/>
    <col min="4" max="4" width="21.921875" style="121" customWidth="1"/>
    <col min="5" max="6" width="22" style="121" hidden="1" customWidth="1"/>
    <col min="7" max="7" width="46.921875" style="121" customWidth="1"/>
    <col min="8" max="8" width="25" style="121" customWidth="1"/>
    <col min="9" max="9" width="22" style="121" customWidth="1"/>
    <col min="11" max="11" width="18.921875" customWidth="1"/>
    <col min="12" max="12" width="22" style="121" customWidth="1"/>
  </cols>
  <sheetData>
    <row r="1" spans="1:12">
      <c r="A1" s="170" t="s">
        <v>291</v>
      </c>
      <c r="B1" s="171" t="s">
        <v>41</v>
      </c>
      <c r="C1" s="172" t="s">
        <v>42</v>
      </c>
      <c r="D1" s="172" t="s">
        <v>292</v>
      </c>
      <c r="E1" s="172" t="s">
        <v>44</v>
      </c>
      <c r="F1" s="172" t="s">
        <v>45</v>
      </c>
      <c r="G1" s="172" t="s">
        <v>487</v>
      </c>
      <c r="H1" s="172" t="s">
        <v>293</v>
      </c>
      <c r="I1" s="172" t="s">
        <v>294</v>
      </c>
      <c r="J1" s="170" t="s">
        <v>295</v>
      </c>
      <c r="K1" s="172" t="s">
        <v>296</v>
      </c>
      <c r="L1" s="179" t="s">
        <v>44</v>
      </c>
    </row>
    <row r="2" spans="1:12">
      <c r="A2" s="156" t="s">
        <v>297</v>
      </c>
      <c r="B2" s="131" t="s">
        <v>50</v>
      </c>
      <c r="C2" s="124" t="s">
        <v>51</v>
      </c>
      <c r="D2" s="124"/>
      <c r="E2" s="124" t="s">
        <v>53</v>
      </c>
      <c r="F2" s="124" t="s">
        <v>54</v>
      </c>
      <c r="G2" s="124" t="s">
        <v>26</v>
      </c>
      <c r="H2" s="124" t="s">
        <v>26</v>
      </c>
      <c r="I2" s="124">
        <v>24</v>
      </c>
      <c r="J2" s="178" t="s">
        <v>299</v>
      </c>
      <c r="K2" s="124" t="s">
        <v>300</v>
      </c>
      <c r="L2" s="180" t="s">
        <v>53</v>
      </c>
    </row>
    <row r="3" spans="1:12">
      <c r="A3" s="156" t="s">
        <v>297</v>
      </c>
      <c r="B3" s="131" t="s">
        <v>56</v>
      </c>
      <c r="C3" s="124" t="s">
        <v>51</v>
      </c>
      <c r="D3" s="124"/>
      <c r="E3" s="124" t="s">
        <v>53</v>
      </c>
      <c r="F3" s="124" t="s">
        <v>57</v>
      </c>
      <c r="G3" s="124" t="s">
        <v>26</v>
      </c>
      <c r="H3" s="124" t="s">
        <v>26</v>
      </c>
      <c r="I3" s="124">
        <v>24</v>
      </c>
      <c r="J3" s="178" t="s">
        <v>299</v>
      </c>
      <c r="K3" s="124" t="s">
        <v>486</v>
      </c>
      <c r="L3" s="180" t="s">
        <v>53</v>
      </c>
    </row>
    <row r="4" spans="1:12">
      <c r="A4" s="156" t="s">
        <v>297</v>
      </c>
      <c r="B4" s="132" t="s">
        <v>302</v>
      </c>
      <c r="C4" s="124" t="s">
        <v>51</v>
      </c>
      <c r="D4" s="127" t="s">
        <v>303</v>
      </c>
      <c r="E4" s="124" t="s">
        <v>59</v>
      </c>
      <c r="F4" s="124" t="s">
        <v>60</v>
      </c>
      <c r="G4" s="124" t="s">
        <v>305</v>
      </c>
      <c r="H4" s="124" t="s">
        <v>305</v>
      </c>
      <c r="I4" s="124">
        <v>30</v>
      </c>
      <c r="J4" s="178" t="s">
        <v>299</v>
      </c>
      <c r="K4" s="124" t="s">
        <v>300</v>
      </c>
      <c r="L4" s="180" t="s">
        <v>59</v>
      </c>
    </row>
    <row r="5" spans="1:12">
      <c r="A5" s="156" t="s">
        <v>297</v>
      </c>
      <c r="B5" s="132" t="s">
        <v>63</v>
      </c>
      <c r="C5" s="124" t="s">
        <v>51</v>
      </c>
      <c r="D5" s="127" t="s">
        <v>306</v>
      </c>
      <c r="E5" s="124" t="s">
        <v>59</v>
      </c>
      <c r="F5" s="124" t="s">
        <v>64</v>
      </c>
      <c r="G5" s="124" t="s">
        <v>305</v>
      </c>
      <c r="H5" s="124" t="s">
        <v>305</v>
      </c>
      <c r="I5" s="124">
        <v>30</v>
      </c>
      <c r="J5" s="178" t="s">
        <v>299</v>
      </c>
      <c r="K5" s="124" t="s">
        <v>300</v>
      </c>
      <c r="L5" s="180" t="s">
        <v>59</v>
      </c>
    </row>
    <row r="6" spans="1:12" ht="25">
      <c r="A6" s="156" t="s">
        <v>297</v>
      </c>
      <c r="B6" s="132" t="s">
        <v>67</v>
      </c>
      <c r="C6" s="124" t="s">
        <v>68</v>
      </c>
      <c r="D6" s="124"/>
      <c r="E6" s="124" t="s">
        <v>59</v>
      </c>
      <c r="F6" s="124" t="s">
        <v>70</v>
      </c>
      <c r="G6" s="133" t="s">
        <v>307</v>
      </c>
      <c r="H6" s="133" t="s">
        <v>307</v>
      </c>
      <c r="I6" s="124">
        <v>9</v>
      </c>
      <c r="J6" s="127" t="s">
        <v>308</v>
      </c>
      <c r="K6" s="124" t="s">
        <v>300</v>
      </c>
      <c r="L6" s="180" t="s">
        <v>59</v>
      </c>
    </row>
    <row r="7" spans="1:12" ht="25">
      <c r="A7" s="156" t="s">
        <v>297</v>
      </c>
      <c r="B7" s="132" t="s">
        <v>75</v>
      </c>
      <c r="C7" s="124" t="s">
        <v>76</v>
      </c>
      <c r="D7" s="124"/>
      <c r="E7" s="124" t="s">
        <v>59</v>
      </c>
      <c r="F7" s="124" t="s">
        <v>70</v>
      </c>
      <c r="G7" s="123" t="s">
        <v>307</v>
      </c>
      <c r="H7" s="123" t="s">
        <v>307</v>
      </c>
      <c r="I7" s="124">
        <v>72</v>
      </c>
      <c r="J7" s="127" t="s">
        <v>308</v>
      </c>
      <c r="K7" s="124" t="s">
        <v>300</v>
      </c>
      <c r="L7" s="180" t="s">
        <v>59</v>
      </c>
    </row>
    <row r="8" spans="1:12" ht="25">
      <c r="A8" s="156" t="s">
        <v>297</v>
      </c>
      <c r="B8" s="132" t="s">
        <v>78</v>
      </c>
      <c r="C8" s="124" t="s">
        <v>309</v>
      </c>
      <c r="D8" s="127" t="s">
        <v>310</v>
      </c>
      <c r="E8" s="124" t="s">
        <v>53</v>
      </c>
      <c r="F8" s="124" t="s">
        <v>70</v>
      </c>
      <c r="G8" s="123" t="s">
        <v>307</v>
      </c>
      <c r="H8" s="123" t="s">
        <v>307</v>
      </c>
      <c r="I8" s="124">
        <v>504</v>
      </c>
      <c r="J8" s="127" t="s">
        <v>308</v>
      </c>
      <c r="K8" s="124" t="s">
        <v>300</v>
      </c>
      <c r="L8" s="180" t="s">
        <v>53</v>
      </c>
    </row>
    <row r="9" spans="1:12" ht="25">
      <c r="A9" s="156" t="s">
        <v>297</v>
      </c>
      <c r="B9" s="132" t="s">
        <v>83</v>
      </c>
      <c r="C9" s="124" t="s">
        <v>84</v>
      </c>
      <c r="D9" s="124"/>
      <c r="E9" s="124" t="s">
        <v>53</v>
      </c>
      <c r="F9" s="124" t="s">
        <v>70</v>
      </c>
      <c r="G9" s="123" t="s">
        <v>311</v>
      </c>
      <c r="H9" s="123" t="s">
        <v>311</v>
      </c>
      <c r="I9" s="124">
        <v>24</v>
      </c>
      <c r="J9" s="127" t="s">
        <v>308</v>
      </c>
      <c r="K9" s="124" t="s">
        <v>300</v>
      </c>
      <c r="L9" s="180" t="s">
        <v>53</v>
      </c>
    </row>
    <row r="10" spans="1:12">
      <c r="A10" s="156" t="s">
        <v>297</v>
      </c>
      <c r="B10" s="132" t="s">
        <v>312</v>
      </c>
      <c r="C10" s="124" t="s">
        <v>88</v>
      </c>
      <c r="D10" s="127" t="s">
        <v>313</v>
      </c>
      <c r="E10" s="124" t="s">
        <v>53</v>
      </c>
      <c r="F10" s="124" t="s">
        <v>90</v>
      </c>
      <c r="G10" s="123" t="s">
        <v>314</v>
      </c>
      <c r="H10" s="123" t="s">
        <v>314</v>
      </c>
      <c r="I10" s="124">
        <v>600</v>
      </c>
      <c r="J10" s="127" t="s">
        <v>308</v>
      </c>
      <c r="K10" s="124" t="s">
        <v>300</v>
      </c>
      <c r="L10" s="180" t="s">
        <v>53</v>
      </c>
    </row>
    <row r="11" spans="1:12">
      <c r="A11" s="157" t="s">
        <v>297</v>
      </c>
      <c r="B11" s="142" t="s">
        <v>315</v>
      </c>
      <c r="C11" s="142" t="s">
        <v>309</v>
      </c>
      <c r="D11" s="127"/>
      <c r="E11" s="155" t="s">
        <v>59</v>
      </c>
      <c r="F11" s="155" t="s">
        <v>93</v>
      </c>
      <c r="G11" s="123" t="s">
        <v>307</v>
      </c>
      <c r="H11" s="123" t="s">
        <v>307</v>
      </c>
      <c r="I11" s="124">
        <v>504</v>
      </c>
      <c r="J11" s="127" t="s">
        <v>308</v>
      </c>
      <c r="K11" s="124" t="s">
        <v>300</v>
      </c>
      <c r="L11" s="155" t="s">
        <v>59</v>
      </c>
    </row>
    <row r="12" spans="1:12">
      <c r="A12" s="157" t="s">
        <v>297</v>
      </c>
      <c r="B12" s="142" t="s">
        <v>315</v>
      </c>
      <c r="C12" s="142" t="s">
        <v>309</v>
      </c>
      <c r="D12" s="155"/>
      <c r="E12" s="155" t="s">
        <v>59</v>
      </c>
      <c r="F12" s="155" t="s">
        <v>93</v>
      </c>
      <c r="G12" s="123" t="s">
        <v>316</v>
      </c>
      <c r="H12" s="123" t="s">
        <v>316</v>
      </c>
      <c r="I12" s="124">
        <v>4</v>
      </c>
      <c r="J12" s="127" t="s">
        <v>299</v>
      </c>
      <c r="K12" s="124" t="s">
        <v>300</v>
      </c>
      <c r="L12" s="155" t="s">
        <v>59</v>
      </c>
    </row>
    <row r="13" spans="1:12">
      <c r="A13" s="158" t="s">
        <v>317</v>
      </c>
      <c r="B13" s="132" t="s">
        <v>318</v>
      </c>
      <c r="C13" s="124" t="s">
        <v>51</v>
      </c>
      <c r="D13" s="124"/>
      <c r="E13" s="124" t="s">
        <v>53</v>
      </c>
      <c r="F13" s="124" t="s">
        <v>104</v>
      </c>
      <c r="G13" s="137" t="s">
        <v>319</v>
      </c>
      <c r="H13" s="137" t="s">
        <v>319</v>
      </c>
      <c r="I13" s="124">
        <v>3</v>
      </c>
      <c r="J13" s="127" t="s">
        <v>299</v>
      </c>
      <c r="K13" s="124" t="s">
        <v>300</v>
      </c>
      <c r="L13" s="180" t="s">
        <v>53</v>
      </c>
    </row>
    <row r="14" spans="1:12" ht="29.15" customHeight="1">
      <c r="A14" s="158" t="s">
        <v>317</v>
      </c>
      <c r="B14" s="132" t="s">
        <v>106</v>
      </c>
      <c r="C14" s="124" t="s">
        <v>51</v>
      </c>
      <c r="D14" s="127"/>
      <c r="E14" s="124" t="s">
        <v>107</v>
      </c>
      <c r="F14" s="124" t="s">
        <v>108</v>
      </c>
      <c r="G14" s="137" t="s">
        <v>319</v>
      </c>
      <c r="H14" s="137" t="s">
        <v>319</v>
      </c>
      <c r="I14" s="125">
        <v>0.4</v>
      </c>
      <c r="J14" s="127" t="s">
        <v>320</v>
      </c>
      <c r="K14" s="124" t="s">
        <v>300</v>
      </c>
      <c r="L14" s="180" t="s">
        <v>107</v>
      </c>
    </row>
    <row r="15" spans="1:12" ht="15.9" customHeight="1">
      <c r="A15" s="159" t="s">
        <v>317</v>
      </c>
      <c r="B15" s="143" t="s">
        <v>321</v>
      </c>
      <c r="C15" s="143" t="s">
        <v>322</v>
      </c>
      <c r="D15" s="127"/>
      <c r="E15" s="143" t="s">
        <v>323</v>
      </c>
      <c r="F15" s="143" t="s">
        <v>116</v>
      </c>
      <c r="G15" s="128" t="s">
        <v>307</v>
      </c>
      <c r="H15" s="128" t="s">
        <v>307</v>
      </c>
      <c r="I15" s="124">
        <v>168</v>
      </c>
      <c r="J15" s="127" t="s">
        <v>308</v>
      </c>
      <c r="K15" s="124" t="s">
        <v>300</v>
      </c>
      <c r="L15" s="143" t="s">
        <v>323</v>
      </c>
    </row>
    <row r="16" spans="1:12" ht="36" customHeight="1">
      <c r="A16" s="159" t="s">
        <v>317</v>
      </c>
      <c r="B16" s="143" t="s">
        <v>321</v>
      </c>
      <c r="C16" s="143" t="s">
        <v>322</v>
      </c>
      <c r="D16" s="127"/>
      <c r="E16" s="143" t="s">
        <v>323</v>
      </c>
      <c r="F16" s="143" t="s">
        <v>116</v>
      </c>
      <c r="G16" s="128" t="s">
        <v>319</v>
      </c>
      <c r="H16" s="128" t="s">
        <v>319</v>
      </c>
      <c r="I16" s="124">
        <v>4</v>
      </c>
      <c r="J16" s="127" t="s">
        <v>299</v>
      </c>
      <c r="K16" s="124" t="s">
        <v>300</v>
      </c>
      <c r="L16" s="182"/>
    </row>
    <row r="17" spans="1:12" ht="36" customHeight="1">
      <c r="A17" s="160" t="s">
        <v>317</v>
      </c>
      <c r="B17" s="140" t="s">
        <v>324</v>
      </c>
      <c r="C17" s="140" t="s">
        <v>309</v>
      </c>
      <c r="D17" s="127"/>
      <c r="E17" s="140" t="s">
        <v>122</v>
      </c>
      <c r="F17" s="140" t="s">
        <v>123</v>
      </c>
      <c r="G17" s="137" t="s">
        <v>325</v>
      </c>
      <c r="H17" s="137" t="s">
        <v>325</v>
      </c>
      <c r="I17" s="126">
        <v>72</v>
      </c>
      <c r="J17" s="127" t="s">
        <v>308</v>
      </c>
      <c r="K17" s="124" t="s">
        <v>300</v>
      </c>
      <c r="L17" s="190" t="s">
        <v>122</v>
      </c>
    </row>
    <row r="18" spans="1:12" ht="36" customHeight="1">
      <c r="A18" s="160" t="s">
        <v>317</v>
      </c>
      <c r="B18" s="140" t="s">
        <v>324</v>
      </c>
      <c r="C18" s="140" t="s">
        <v>309</v>
      </c>
      <c r="D18" s="127" t="s">
        <v>326</v>
      </c>
      <c r="E18" s="140" t="s">
        <v>122</v>
      </c>
      <c r="F18" s="140" t="s">
        <v>123</v>
      </c>
      <c r="G18" s="137" t="s">
        <v>327</v>
      </c>
      <c r="H18" s="137" t="s">
        <v>327</v>
      </c>
      <c r="I18" s="126">
        <v>96</v>
      </c>
      <c r="J18" s="127" t="s">
        <v>299</v>
      </c>
      <c r="K18" s="124" t="s">
        <v>300</v>
      </c>
      <c r="L18" s="191"/>
    </row>
    <row r="19" spans="1:12">
      <c r="A19" s="160" t="s">
        <v>317</v>
      </c>
      <c r="B19" s="140" t="s">
        <v>324</v>
      </c>
      <c r="C19" s="140" t="s">
        <v>309</v>
      </c>
      <c r="D19" s="127"/>
      <c r="E19" s="140" t="s">
        <v>122</v>
      </c>
      <c r="F19" s="140" t="s">
        <v>123</v>
      </c>
      <c r="G19" s="128" t="s">
        <v>319</v>
      </c>
      <c r="H19" s="128" t="s">
        <v>319</v>
      </c>
      <c r="I19" s="126">
        <v>2</v>
      </c>
      <c r="J19" s="127" t="s">
        <v>299</v>
      </c>
      <c r="K19" s="124" t="s">
        <v>300</v>
      </c>
      <c r="L19" s="192"/>
    </row>
    <row r="20" spans="1:12" ht="15.9" customHeight="1">
      <c r="A20" s="161" t="s">
        <v>317</v>
      </c>
      <c r="B20" s="139" t="s">
        <v>328</v>
      </c>
      <c r="C20" s="139" t="s">
        <v>76</v>
      </c>
      <c r="D20" s="127"/>
      <c r="E20" s="139" t="s">
        <v>53</v>
      </c>
      <c r="F20" s="139" t="s">
        <v>108</v>
      </c>
      <c r="G20" s="124" t="s">
        <v>307</v>
      </c>
      <c r="H20" s="124" t="s">
        <v>307</v>
      </c>
      <c r="I20" s="124">
        <v>85</v>
      </c>
      <c r="J20" s="127" t="s">
        <v>308</v>
      </c>
      <c r="K20" s="124" t="s">
        <v>300</v>
      </c>
      <c r="L20" s="143" t="s">
        <v>53</v>
      </c>
    </row>
    <row r="21" spans="1:12" ht="37.5">
      <c r="A21" s="161" t="s">
        <v>317</v>
      </c>
      <c r="B21" s="139" t="s">
        <v>328</v>
      </c>
      <c r="C21" s="139" t="s">
        <v>76</v>
      </c>
      <c r="D21" s="127"/>
      <c r="E21" s="139" t="s">
        <v>53</v>
      </c>
      <c r="F21" s="139" t="s">
        <v>108</v>
      </c>
      <c r="G21" s="128" t="s">
        <v>319</v>
      </c>
      <c r="H21" s="128" t="s">
        <v>319</v>
      </c>
      <c r="I21" s="124">
        <v>10</v>
      </c>
      <c r="J21" s="127" t="s">
        <v>299</v>
      </c>
      <c r="K21" s="124" t="s">
        <v>300</v>
      </c>
      <c r="L21" s="182"/>
    </row>
    <row r="22" spans="1:12" ht="15.9" customHeight="1">
      <c r="A22" s="160" t="s">
        <v>317</v>
      </c>
      <c r="B22" s="140" t="s">
        <v>329</v>
      </c>
      <c r="C22" s="140" t="s">
        <v>84</v>
      </c>
      <c r="D22" s="127"/>
      <c r="E22" s="140" t="s">
        <v>129</v>
      </c>
      <c r="F22" s="140" t="s">
        <v>108</v>
      </c>
      <c r="G22" s="137" t="s">
        <v>311</v>
      </c>
      <c r="H22" s="137" t="s">
        <v>311</v>
      </c>
      <c r="I22" s="124">
        <v>24</v>
      </c>
      <c r="J22" s="127" t="s">
        <v>308</v>
      </c>
      <c r="K22" s="124" t="s">
        <v>300</v>
      </c>
      <c r="L22" s="190" t="s">
        <v>129</v>
      </c>
    </row>
    <row r="23" spans="1:12" ht="37.5">
      <c r="A23" s="160" t="s">
        <v>317</v>
      </c>
      <c r="B23" s="140" t="s">
        <v>329</v>
      </c>
      <c r="C23" s="140" t="s">
        <v>84</v>
      </c>
      <c r="D23" s="127"/>
      <c r="E23" s="140" t="s">
        <v>129</v>
      </c>
      <c r="F23" s="140" t="s">
        <v>108</v>
      </c>
      <c r="G23" s="128" t="s">
        <v>319</v>
      </c>
      <c r="H23" s="128" t="s">
        <v>319</v>
      </c>
      <c r="I23" s="124">
        <v>6</v>
      </c>
      <c r="J23" s="127" t="s">
        <v>299</v>
      </c>
      <c r="K23" s="124" t="s">
        <v>300</v>
      </c>
      <c r="L23" s="192"/>
    </row>
    <row r="24" spans="1:12" ht="15.9" customHeight="1">
      <c r="A24" s="161" t="s">
        <v>317</v>
      </c>
      <c r="B24" s="139" t="s">
        <v>330</v>
      </c>
      <c r="C24" s="139" t="s">
        <v>131</v>
      </c>
      <c r="D24" s="139"/>
      <c r="E24" s="139" t="s">
        <v>53</v>
      </c>
      <c r="F24" s="139" t="s">
        <v>108</v>
      </c>
      <c r="G24" s="124" t="s">
        <v>331</v>
      </c>
      <c r="H24" s="124" t="s">
        <v>331</v>
      </c>
      <c r="I24" s="124">
        <v>110</v>
      </c>
      <c r="J24" s="127" t="s">
        <v>308</v>
      </c>
      <c r="K24" s="124" t="s">
        <v>300</v>
      </c>
      <c r="L24" s="143" t="s">
        <v>53</v>
      </c>
    </row>
    <row r="25" spans="1:12" ht="37.5">
      <c r="A25" s="161" t="s">
        <v>317</v>
      </c>
      <c r="B25" s="139" t="s">
        <v>330</v>
      </c>
      <c r="C25" s="139" t="s">
        <v>131</v>
      </c>
      <c r="D25" s="139"/>
      <c r="E25" s="139" t="s">
        <v>53</v>
      </c>
      <c r="F25" s="139" t="s">
        <v>108</v>
      </c>
      <c r="G25" s="128" t="s">
        <v>319</v>
      </c>
      <c r="H25" s="128" t="s">
        <v>319</v>
      </c>
      <c r="I25" s="124">
        <v>8</v>
      </c>
      <c r="J25" s="127" t="s">
        <v>299</v>
      </c>
      <c r="K25" s="124" t="s">
        <v>300</v>
      </c>
      <c r="L25" s="182"/>
    </row>
    <row r="26" spans="1:12" ht="15.9" customHeight="1">
      <c r="A26" s="161" t="s">
        <v>317</v>
      </c>
      <c r="B26" s="139" t="s">
        <v>332</v>
      </c>
      <c r="C26" s="139" t="s">
        <v>134</v>
      </c>
      <c r="D26" s="139"/>
      <c r="E26" s="139" t="s">
        <v>107</v>
      </c>
      <c r="F26" s="139" t="s">
        <v>108</v>
      </c>
      <c r="G26" s="124" t="s">
        <v>307</v>
      </c>
      <c r="H26" s="124" t="s">
        <v>307</v>
      </c>
      <c r="I26" s="124">
        <v>168</v>
      </c>
      <c r="J26" s="127" t="s">
        <v>308</v>
      </c>
      <c r="K26" s="124" t="s">
        <v>300</v>
      </c>
      <c r="L26" s="143" t="s">
        <v>107</v>
      </c>
    </row>
    <row r="27" spans="1:12" ht="37.5">
      <c r="A27" s="161" t="s">
        <v>317</v>
      </c>
      <c r="B27" s="139" t="s">
        <v>332</v>
      </c>
      <c r="C27" s="139" t="s">
        <v>134</v>
      </c>
      <c r="D27" s="139"/>
      <c r="E27" s="139" t="s">
        <v>107</v>
      </c>
      <c r="F27" s="139" t="s">
        <v>108</v>
      </c>
      <c r="G27" s="128" t="s">
        <v>319</v>
      </c>
      <c r="H27" s="128" t="s">
        <v>319</v>
      </c>
      <c r="I27" s="124">
        <v>30</v>
      </c>
      <c r="J27" s="127" t="s">
        <v>299</v>
      </c>
      <c r="K27" s="124" t="s">
        <v>300</v>
      </c>
      <c r="L27" s="182"/>
    </row>
    <row r="28" spans="1:12" ht="15.9" customHeight="1">
      <c r="A28" s="161" t="s">
        <v>317</v>
      </c>
      <c r="B28" s="139" t="s">
        <v>332</v>
      </c>
      <c r="C28" s="139" t="s">
        <v>134</v>
      </c>
      <c r="D28" s="139"/>
      <c r="E28" s="139" t="s">
        <v>53</v>
      </c>
      <c r="F28" s="139" t="s">
        <v>108</v>
      </c>
      <c r="G28" s="128" t="s">
        <v>307</v>
      </c>
      <c r="H28" s="128" t="s">
        <v>307</v>
      </c>
      <c r="I28" s="124">
        <v>500</v>
      </c>
      <c r="J28" s="127" t="s">
        <v>308</v>
      </c>
      <c r="K28" s="124" t="s">
        <v>300</v>
      </c>
      <c r="L28" s="143" t="s">
        <v>53</v>
      </c>
    </row>
    <row r="29" spans="1:12" ht="37.5">
      <c r="A29" s="161" t="s">
        <v>317</v>
      </c>
      <c r="B29" s="139" t="s">
        <v>332</v>
      </c>
      <c r="C29" s="139" t="s">
        <v>134</v>
      </c>
      <c r="D29" s="127"/>
      <c r="E29" s="139" t="s">
        <v>53</v>
      </c>
      <c r="F29" s="139" t="s">
        <v>108</v>
      </c>
      <c r="G29" s="128" t="s">
        <v>319</v>
      </c>
      <c r="H29" s="128" t="s">
        <v>319</v>
      </c>
      <c r="I29" s="124">
        <v>10</v>
      </c>
      <c r="J29" s="127" t="s">
        <v>299</v>
      </c>
      <c r="K29" s="124" t="s">
        <v>300</v>
      </c>
      <c r="L29" s="182"/>
    </row>
    <row r="30" spans="1:12">
      <c r="A30" s="162" t="s">
        <v>333</v>
      </c>
      <c r="B30" s="146" t="s">
        <v>324</v>
      </c>
      <c r="C30" s="146" t="s">
        <v>334</v>
      </c>
      <c r="D30" s="127"/>
      <c r="E30" s="151" t="s">
        <v>160</v>
      </c>
      <c r="F30" s="151" t="s">
        <v>78</v>
      </c>
      <c r="G30" s="130" t="s">
        <v>325</v>
      </c>
      <c r="H30" s="130" t="s">
        <v>325</v>
      </c>
      <c r="I30" s="127">
        <v>72</v>
      </c>
      <c r="J30" s="127" t="s">
        <v>308</v>
      </c>
      <c r="K30" s="124" t="s">
        <v>300</v>
      </c>
      <c r="L30" s="183" t="s">
        <v>160</v>
      </c>
    </row>
    <row r="31" spans="1:12">
      <c r="A31" s="162" t="s">
        <v>333</v>
      </c>
      <c r="B31" s="146" t="s">
        <v>324</v>
      </c>
      <c r="C31" s="146" t="s">
        <v>334</v>
      </c>
      <c r="D31" s="127" t="s">
        <v>326</v>
      </c>
      <c r="E31" s="151" t="s">
        <v>160</v>
      </c>
      <c r="F31" s="151" t="s">
        <v>78</v>
      </c>
      <c r="G31" s="130" t="s">
        <v>327</v>
      </c>
      <c r="H31" s="130" t="s">
        <v>327</v>
      </c>
      <c r="I31" s="127">
        <v>96</v>
      </c>
      <c r="J31" s="127" t="s">
        <v>299</v>
      </c>
      <c r="K31" s="124" t="s">
        <v>300</v>
      </c>
      <c r="L31" s="195"/>
    </row>
    <row r="32" spans="1:12">
      <c r="A32" s="162" t="s">
        <v>333</v>
      </c>
      <c r="B32" s="146" t="s">
        <v>324</v>
      </c>
      <c r="C32" s="146" t="s">
        <v>334</v>
      </c>
      <c r="D32" s="127"/>
      <c r="E32" s="151" t="s">
        <v>160</v>
      </c>
      <c r="F32" s="151" t="s">
        <v>78</v>
      </c>
      <c r="G32" s="130" t="s">
        <v>26</v>
      </c>
      <c r="H32" s="130" t="s">
        <v>26</v>
      </c>
      <c r="I32" s="127">
        <v>8</v>
      </c>
      <c r="J32" s="127" t="s">
        <v>299</v>
      </c>
      <c r="K32" s="124" t="s">
        <v>300</v>
      </c>
      <c r="L32" s="184"/>
    </row>
    <row r="33" spans="1:12">
      <c r="A33" s="162" t="s">
        <v>333</v>
      </c>
      <c r="B33" s="147" t="s">
        <v>328</v>
      </c>
      <c r="C33" s="146" t="s">
        <v>335</v>
      </c>
      <c r="D33" s="127"/>
      <c r="E33" s="151" t="s">
        <v>167</v>
      </c>
      <c r="F33" s="151" t="s">
        <v>332</v>
      </c>
      <c r="G33" s="130" t="s">
        <v>325</v>
      </c>
      <c r="H33" s="130" t="s">
        <v>325</v>
      </c>
      <c r="I33" s="127">
        <v>72</v>
      </c>
      <c r="J33" s="127" t="s">
        <v>308</v>
      </c>
      <c r="K33" s="124" t="s">
        <v>300</v>
      </c>
      <c r="L33" s="183" t="s">
        <v>167</v>
      </c>
    </row>
    <row r="34" spans="1:12">
      <c r="A34" s="162" t="s">
        <v>333</v>
      </c>
      <c r="B34" s="147" t="s">
        <v>328</v>
      </c>
      <c r="C34" s="146" t="s">
        <v>335</v>
      </c>
      <c r="D34" s="127"/>
      <c r="E34" s="151" t="s">
        <v>167</v>
      </c>
      <c r="F34" s="151" t="s">
        <v>332</v>
      </c>
      <c r="G34" s="130" t="s">
        <v>26</v>
      </c>
      <c r="H34" s="130" t="s">
        <v>26</v>
      </c>
      <c r="I34" s="127">
        <v>8</v>
      </c>
      <c r="J34" s="127" t="s">
        <v>299</v>
      </c>
      <c r="K34" s="124" t="s">
        <v>300</v>
      </c>
      <c r="L34" s="195"/>
    </row>
    <row r="35" spans="1:12">
      <c r="A35" s="162" t="s">
        <v>333</v>
      </c>
      <c r="B35" s="144" t="s">
        <v>329</v>
      </c>
      <c r="C35" s="144">
        <v>24</v>
      </c>
      <c r="D35" s="127"/>
      <c r="E35" s="150" t="s">
        <v>170</v>
      </c>
      <c r="F35" s="134" t="s">
        <v>336</v>
      </c>
      <c r="G35" s="127" t="s">
        <v>311</v>
      </c>
      <c r="H35" s="127" t="s">
        <v>311</v>
      </c>
      <c r="I35" s="127">
        <v>24</v>
      </c>
      <c r="J35" s="127" t="s">
        <v>308</v>
      </c>
      <c r="K35" s="124" t="s">
        <v>300</v>
      </c>
      <c r="L35" s="185" t="s">
        <v>170</v>
      </c>
    </row>
    <row r="36" spans="1:12">
      <c r="A36" s="162" t="s">
        <v>333</v>
      </c>
      <c r="B36" s="144" t="s">
        <v>329</v>
      </c>
      <c r="C36" s="144">
        <v>24</v>
      </c>
      <c r="D36" s="127"/>
      <c r="E36" s="150" t="s">
        <v>170</v>
      </c>
      <c r="F36" s="134" t="s">
        <v>336</v>
      </c>
      <c r="G36" s="130" t="s">
        <v>26</v>
      </c>
      <c r="H36" s="130" t="s">
        <v>26</v>
      </c>
      <c r="I36" s="127"/>
      <c r="J36" s="127" t="s">
        <v>299</v>
      </c>
      <c r="K36" s="124" t="s">
        <v>300</v>
      </c>
      <c r="L36" s="186"/>
    </row>
    <row r="37" spans="1:12">
      <c r="A37" s="163" t="s">
        <v>333</v>
      </c>
      <c r="B37" s="145" t="s">
        <v>330</v>
      </c>
      <c r="C37" s="145" t="s">
        <v>337</v>
      </c>
      <c r="D37" s="127"/>
      <c r="E37" s="154" t="s">
        <v>167</v>
      </c>
      <c r="F37" s="154" t="s">
        <v>338</v>
      </c>
      <c r="G37" s="130" t="s">
        <v>325</v>
      </c>
      <c r="H37" s="130" t="s">
        <v>325</v>
      </c>
      <c r="I37" s="127">
        <v>110</v>
      </c>
      <c r="J37" s="127" t="s">
        <v>308</v>
      </c>
      <c r="K37" s="124" t="s">
        <v>300</v>
      </c>
      <c r="L37" s="193" t="s">
        <v>167</v>
      </c>
    </row>
    <row r="38" spans="1:12">
      <c r="A38" s="163" t="s">
        <v>333</v>
      </c>
      <c r="B38" s="145" t="s">
        <v>330</v>
      </c>
      <c r="C38" s="145" t="s">
        <v>337</v>
      </c>
      <c r="D38" s="127"/>
      <c r="E38" s="154" t="s">
        <v>167</v>
      </c>
      <c r="F38" s="154" t="s">
        <v>338</v>
      </c>
      <c r="G38" s="130" t="s">
        <v>26</v>
      </c>
      <c r="H38" s="130" t="s">
        <v>26</v>
      </c>
      <c r="I38" s="127">
        <v>8</v>
      </c>
      <c r="J38" s="127" t="s">
        <v>299</v>
      </c>
      <c r="K38" s="124" t="s">
        <v>300</v>
      </c>
      <c r="L38" s="194"/>
    </row>
    <row r="39" spans="1:12">
      <c r="A39" s="163" t="s">
        <v>333</v>
      </c>
      <c r="B39" s="145" t="s">
        <v>332</v>
      </c>
      <c r="C39" s="145" t="s">
        <v>339</v>
      </c>
      <c r="D39" s="127"/>
      <c r="E39" s="154" t="s">
        <v>167</v>
      </c>
      <c r="F39" s="154" t="s">
        <v>332</v>
      </c>
      <c r="G39" s="130" t="s">
        <v>325</v>
      </c>
      <c r="H39" s="130" t="s">
        <v>325</v>
      </c>
      <c r="I39" s="127">
        <v>168</v>
      </c>
      <c r="J39" s="127" t="s">
        <v>308</v>
      </c>
      <c r="K39" s="124" t="s">
        <v>300</v>
      </c>
      <c r="L39" s="193" t="s">
        <v>167</v>
      </c>
    </row>
    <row r="40" spans="1:12">
      <c r="A40" s="163" t="s">
        <v>333</v>
      </c>
      <c r="B40" s="145" t="s">
        <v>332</v>
      </c>
      <c r="C40" s="145" t="s">
        <v>339</v>
      </c>
      <c r="D40" s="127"/>
      <c r="E40" s="154" t="s">
        <v>167</v>
      </c>
      <c r="F40" s="154" t="s">
        <v>332</v>
      </c>
      <c r="G40" s="130" t="s">
        <v>26</v>
      </c>
      <c r="H40" s="130" t="s">
        <v>26</v>
      </c>
      <c r="I40" s="127">
        <v>8</v>
      </c>
      <c r="J40" s="127" t="s">
        <v>299</v>
      </c>
      <c r="K40" s="124" t="s">
        <v>300</v>
      </c>
      <c r="L40" s="194"/>
    </row>
    <row r="41" spans="1:12">
      <c r="A41" s="163" t="s">
        <v>333</v>
      </c>
      <c r="B41" s="145" t="s">
        <v>332</v>
      </c>
      <c r="C41" s="145" t="s">
        <v>340</v>
      </c>
      <c r="D41" s="127"/>
      <c r="E41" s="154" t="s">
        <v>167</v>
      </c>
      <c r="F41" s="154" t="s">
        <v>332</v>
      </c>
      <c r="G41" s="130" t="s">
        <v>325</v>
      </c>
      <c r="H41" s="130" t="s">
        <v>325</v>
      </c>
      <c r="I41" s="127">
        <v>500</v>
      </c>
      <c r="J41" s="127" t="s">
        <v>308</v>
      </c>
      <c r="K41" s="124" t="s">
        <v>300</v>
      </c>
      <c r="L41" s="193" t="s">
        <v>167</v>
      </c>
    </row>
    <row r="42" spans="1:12">
      <c r="A42" s="163" t="s">
        <v>333</v>
      </c>
      <c r="B42" s="145" t="s">
        <v>332</v>
      </c>
      <c r="C42" s="145" t="s">
        <v>340</v>
      </c>
      <c r="D42" s="127"/>
      <c r="E42" s="154" t="s">
        <v>167</v>
      </c>
      <c r="F42" s="154" t="s">
        <v>332</v>
      </c>
      <c r="G42" s="130" t="s">
        <v>26</v>
      </c>
      <c r="H42" s="130" t="s">
        <v>26</v>
      </c>
      <c r="I42" s="127">
        <v>8</v>
      </c>
      <c r="J42" s="127" t="s">
        <v>299</v>
      </c>
      <c r="K42" s="124" t="s">
        <v>300</v>
      </c>
      <c r="L42" s="194"/>
    </row>
    <row r="43" spans="1:12">
      <c r="A43" s="164" t="s">
        <v>341</v>
      </c>
      <c r="B43" s="129" t="s">
        <v>50</v>
      </c>
      <c r="C43" s="135"/>
      <c r="D43" s="127"/>
      <c r="E43" s="127" t="s">
        <v>144</v>
      </c>
      <c r="F43" s="127" t="s">
        <v>265</v>
      </c>
      <c r="G43" s="130" t="s">
        <v>298</v>
      </c>
      <c r="H43" s="130" t="s">
        <v>298</v>
      </c>
      <c r="I43" s="127">
        <v>24</v>
      </c>
      <c r="J43" s="127" t="s">
        <v>299</v>
      </c>
      <c r="K43" s="124" t="s">
        <v>300</v>
      </c>
      <c r="L43" s="181" t="s">
        <v>144</v>
      </c>
    </row>
    <row r="44" spans="1:12">
      <c r="A44" s="164" t="s">
        <v>341</v>
      </c>
      <c r="B44" s="129" t="s">
        <v>56</v>
      </c>
      <c r="C44" s="135"/>
      <c r="D44" s="127"/>
      <c r="E44" s="127" t="s">
        <v>144</v>
      </c>
      <c r="F44" s="127" t="s">
        <v>266</v>
      </c>
      <c r="G44" s="130" t="s">
        <v>301</v>
      </c>
      <c r="H44" s="130" t="s">
        <v>301</v>
      </c>
      <c r="I44" s="127" t="s">
        <v>342</v>
      </c>
      <c r="J44" s="127" t="s">
        <v>299</v>
      </c>
      <c r="K44" s="124" t="s">
        <v>301</v>
      </c>
      <c r="L44" s="181" t="s">
        <v>144</v>
      </c>
    </row>
    <row r="45" spans="1:12">
      <c r="A45" s="164" t="s">
        <v>341</v>
      </c>
      <c r="B45" s="129" t="s">
        <v>83</v>
      </c>
      <c r="C45" s="135" t="s">
        <v>85</v>
      </c>
      <c r="D45" s="127"/>
      <c r="E45" s="127" t="s">
        <v>145</v>
      </c>
      <c r="F45" s="127" t="s">
        <v>272</v>
      </c>
      <c r="G45" s="130" t="s">
        <v>311</v>
      </c>
      <c r="H45" s="130" t="s">
        <v>311</v>
      </c>
      <c r="I45" s="127">
        <v>24</v>
      </c>
      <c r="J45" s="127" t="s">
        <v>308</v>
      </c>
      <c r="K45" s="124" t="s">
        <v>300</v>
      </c>
      <c r="L45" s="181" t="s">
        <v>145</v>
      </c>
    </row>
    <row r="46" spans="1:12">
      <c r="A46" s="164" t="s">
        <v>341</v>
      </c>
      <c r="B46" s="129" t="s">
        <v>312</v>
      </c>
      <c r="C46" s="127" t="s">
        <v>343</v>
      </c>
      <c r="D46" s="127" t="s">
        <v>344</v>
      </c>
      <c r="E46" s="127" t="s">
        <v>147</v>
      </c>
      <c r="F46" s="127" t="s">
        <v>22</v>
      </c>
      <c r="G46" s="130" t="s">
        <v>345</v>
      </c>
      <c r="H46" s="130" t="s">
        <v>345</v>
      </c>
      <c r="I46" s="127">
        <v>300</v>
      </c>
      <c r="J46" s="127" t="s">
        <v>308</v>
      </c>
      <c r="K46" s="124" t="s">
        <v>300</v>
      </c>
      <c r="L46" s="181" t="s">
        <v>147</v>
      </c>
    </row>
    <row r="47" spans="1:12">
      <c r="A47" s="164" t="s">
        <v>341</v>
      </c>
      <c r="B47" s="129" t="s">
        <v>96</v>
      </c>
      <c r="C47" s="135" t="s">
        <v>77</v>
      </c>
      <c r="D47" s="127"/>
      <c r="E47" s="127" t="s">
        <v>152</v>
      </c>
      <c r="F47" s="127" t="s">
        <v>78</v>
      </c>
      <c r="G47" s="130" t="s">
        <v>325</v>
      </c>
      <c r="H47" s="130" t="s">
        <v>325</v>
      </c>
      <c r="I47" s="127">
        <v>72</v>
      </c>
      <c r="J47" s="127" t="s">
        <v>308</v>
      </c>
      <c r="K47" s="124" t="s">
        <v>300</v>
      </c>
      <c r="L47" s="181" t="s">
        <v>152</v>
      </c>
    </row>
    <row r="48" spans="1:12">
      <c r="A48" s="164" t="s">
        <v>333</v>
      </c>
      <c r="B48" s="129" t="s">
        <v>346</v>
      </c>
      <c r="C48" s="135" t="s">
        <v>55</v>
      </c>
      <c r="D48" s="127"/>
      <c r="E48" s="127" t="s">
        <v>156</v>
      </c>
      <c r="F48" s="127" t="s">
        <v>26</v>
      </c>
      <c r="G48" s="130" t="s">
        <v>26</v>
      </c>
      <c r="H48" s="130" t="s">
        <v>26</v>
      </c>
      <c r="I48" s="127">
        <v>2</v>
      </c>
      <c r="J48" s="127" t="s">
        <v>299</v>
      </c>
      <c r="K48" s="124" t="s">
        <v>300</v>
      </c>
      <c r="L48" s="181" t="s">
        <v>156</v>
      </c>
    </row>
    <row r="49" spans="1:12">
      <c r="A49" s="164" t="s">
        <v>333</v>
      </c>
      <c r="B49" s="129" t="s">
        <v>106</v>
      </c>
      <c r="C49" s="135" t="s">
        <v>55</v>
      </c>
      <c r="D49" s="135"/>
      <c r="E49" s="127" t="s">
        <v>347</v>
      </c>
      <c r="F49" s="127" t="s">
        <v>26</v>
      </c>
      <c r="G49" s="130" t="s">
        <v>319</v>
      </c>
      <c r="H49" s="130" t="s">
        <v>319</v>
      </c>
      <c r="I49" s="127">
        <f>6*30*3</f>
        <v>540</v>
      </c>
      <c r="J49" s="127" t="s">
        <v>299</v>
      </c>
      <c r="K49" s="124" t="s">
        <v>300</v>
      </c>
      <c r="L49" s="181" t="s">
        <v>347</v>
      </c>
    </row>
    <row r="50" spans="1:12">
      <c r="A50" s="164" t="s">
        <v>333</v>
      </c>
      <c r="B50" s="129" t="s">
        <v>112</v>
      </c>
      <c r="C50" s="135" t="s">
        <v>114</v>
      </c>
      <c r="D50" s="135"/>
      <c r="E50" s="127" t="s">
        <v>160</v>
      </c>
      <c r="F50" s="127" t="s">
        <v>332</v>
      </c>
      <c r="G50" s="130" t="s">
        <v>325</v>
      </c>
      <c r="H50" s="130" t="s">
        <v>325</v>
      </c>
      <c r="I50" s="127">
        <v>168</v>
      </c>
      <c r="J50" s="127" t="s">
        <v>308</v>
      </c>
      <c r="K50" s="124" t="s">
        <v>300</v>
      </c>
      <c r="L50" s="181" t="s">
        <v>160</v>
      </c>
    </row>
    <row r="51" spans="1:12">
      <c r="A51" s="164" t="s">
        <v>182</v>
      </c>
      <c r="B51" s="129" t="s">
        <v>348</v>
      </c>
      <c r="C51" s="135" t="s">
        <v>55</v>
      </c>
      <c r="D51" s="127"/>
      <c r="E51" s="127" t="s">
        <v>185</v>
      </c>
      <c r="F51" s="127"/>
      <c r="G51" s="127" t="s">
        <v>26</v>
      </c>
      <c r="H51" s="127" t="s">
        <v>26</v>
      </c>
      <c r="I51" s="127">
        <v>2</v>
      </c>
      <c r="J51" s="127" t="s">
        <v>299</v>
      </c>
      <c r="K51" s="124" t="s">
        <v>300</v>
      </c>
      <c r="L51" s="181" t="s">
        <v>185</v>
      </c>
    </row>
    <row r="52" spans="1:12">
      <c r="A52" s="164" t="s">
        <v>182</v>
      </c>
      <c r="B52" s="129" t="s">
        <v>349</v>
      </c>
      <c r="C52" s="135" t="s">
        <v>55</v>
      </c>
      <c r="D52" s="127"/>
      <c r="E52" s="127" t="s">
        <v>188</v>
      </c>
      <c r="F52" s="127"/>
      <c r="G52" s="127" t="s">
        <v>26</v>
      </c>
      <c r="H52" s="127" t="s">
        <v>26</v>
      </c>
      <c r="I52" s="127">
        <v>1</v>
      </c>
      <c r="J52" s="127" t="s">
        <v>299</v>
      </c>
      <c r="K52" s="124" t="s">
        <v>300</v>
      </c>
      <c r="L52" s="181" t="s">
        <v>188</v>
      </c>
    </row>
    <row r="53" spans="1:12">
      <c r="A53" s="164" t="s">
        <v>182</v>
      </c>
      <c r="B53" s="129" t="s">
        <v>350</v>
      </c>
      <c r="C53" s="135" t="s">
        <v>55</v>
      </c>
      <c r="D53" s="127"/>
      <c r="E53" s="127" t="s">
        <v>188</v>
      </c>
      <c r="F53" s="127"/>
      <c r="G53" s="127" t="s">
        <v>26</v>
      </c>
      <c r="H53" s="127" t="s">
        <v>26</v>
      </c>
      <c r="I53" s="127">
        <v>1</v>
      </c>
      <c r="J53" s="127" t="s">
        <v>299</v>
      </c>
      <c r="K53" s="124" t="s">
        <v>300</v>
      </c>
      <c r="L53" s="181" t="s">
        <v>188</v>
      </c>
    </row>
    <row r="54" spans="1:12" ht="26">
      <c r="A54" s="164" t="s">
        <v>182</v>
      </c>
      <c r="B54" s="129" t="s">
        <v>351</v>
      </c>
      <c r="C54" s="135" t="s">
        <v>352</v>
      </c>
      <c r="D54" s="127" t="s">
        <v>353</v>
      </c>
      <c r="E54" s="127" t="s">
        <v>193</v>
      </c>
      <c r="F54" s="127"/>
      <c r="G54" s="130" t="s">
        <v>354</v>
      </c>
      <c r="H54" s="130" t="s">
        <v>354</v>
      </c>
      <c r="I54" s="127">
        <v>24</v>
      </c>
      <c r="J54" s="127" t="s">
        <v>299</v>
      </c>
      <c r="K54" s="124" t="s">
        <v>300</v>
      </c>
      <c r="L54" s="181" t="s">
        <v>193</v>
      </c>
    </row>
    <row r="55" spans="1:12">
      <c r="A55" s="164" t="s">
        <v>182</v>
      </c>
      <c r="B55" s="129" t="s">
        <v>355</v>
      </c>
      <c r="C55" s="135" t="s">
        <v>196</v>
      </c>
      <c r="D55" s="127" t="s">
        <v>356</v>
      </c>
      <c r="E55" s="127" t="s">
        <v>198</v>
      </c>
      <c r="F55" s="127"/>
      <c r="G55" s="130" t="s">
        <v>305</v>
      </c>
      <c r="H55" s="130" t="s">
        <v>305</v>
      </c>
      <c r="I55" s="127">
        <v>48</v>
      </c>
      <c r="J55" s="127" t="s">
        <v>299</v>
      </c>
      <c r="K55" s="124" t="s">
        <v>300</v>
      </c>
      <c r="L55" s="181" t="s">
        <v>198</v>
      </c>
    </row>
    <row r="56" spans="1:12">
      <c r="A56" s="164" t="s">
        <v>182</v>
      </c>
      <c r="B56" s="129" t="s">
        <v>58</v>
      </c>
      <c r="C56" s="135" t="s">
        <v>201</v>
      </c>
      <c r="D56" s="127" t="s">
        <v>357</v>
      </c>
      <c r="E56" s="127" t="s">
        <v>59</v>
      </c>
      <c r="F56" s="127"/>
      <c r="G56" s="130" t="s">
        <v>305</v>
      </c>
      <c r="H56" s="130" t="s">
        <v>305</v>
      </c>
      <c r="I56" s="127">
        <v>24</v>
      </c>
      <c r="J56" s="127" t="s">
        <v>299</v>
      </c>
      <c r="K56" s="124" t="s">
        <v>300</v>
      </c>
      <c r="L56" s="181" t="s">
        <v>59</v>
      </c>
    </row>
    <row r="57" spans="1:12">
      <c r="A57" s="164" t="s">
        <v>182</v>
      </c>
      <c r="B57" s="129" t="s">
        <v>358</v>
      </c>
      <c r="C57" s="135" t="s">
        <v>359</v>
      </c>
      <c r="D57" s="127" t="s">
        <v>359</v>
      </c>
      <c r="E57" s="127" t="s">
        <v>206</v>
      </c>
      <c r="F57" s="127"/>
      <c r="G57" s="130" t="s">
        <v>360</v>
      </c>
      <c r="H57" s="130" t="s">
        <v>360</v>
      </c>
      <c r="I57" s="127">
        <v>72</v>
      </c>
      <c r="J57" s="127" t="s">
        <v>299</v>
      </c>
      <c r="K57" s="124" t="s">
        <v>300</v>
      </c>
      <c r="L57" s="181" t="s">
        <v>206</v>
      </c>
    </row>
    <row r="58" spans="1:12">
      <c r="A58" s="164" t="s">
        <v>182</v>
      </c>
      <c r="B58" s="129" t="s">
        <v>361</v>
      </c>
      <c r="C58" s="135" t="s">
        <v>359</v>
      </c>
      <c r="D58" s="127" t="s">
        <v>359</v>
      </c>
      <c r="E58" s="127" t="s">
        <v>206</v>
      </c>
      <c r="F58" s="127"/>
      <c r="G58" s="130" t="s">
        <v>362</v>
      </c>
      <c r="H58" s="130" t="s">
        <v>362</v>
      </c>
      <c r="I58" s="127">
        <v>72</v>
      </c>
      <c r="J58" s="127" t="s">
        <v>299</v>
      </c>
      <c r="K58" s="124" t="s">
        <v>300</v>
      </c>
      <c r="L58" s="181" t="s">
        <v>206</v>
      </c>
    </row>
    <row r="59" spans="1:12">
      <c r="A59" s="164" t="s">
        <v>182</v>
      </c>
      <c r="B59" s="129" t="s">
        <v>363</v>
      </c>
      <c r="C59" s="135" t="s">
        <v>359</v>
      </c>
      <c r="D59" s="127" t="s">
        <v>359</v>
      </c>
      <c r="E59" s="127" t="s">
        <v>206</v>
      </c>
      <c r="F59" s="127"/>
      <c r="G59" s="130" t="s">
        <v>364</v>
      </c>
      <c r="H59" s="130" t="s">
        <v>364</v>
      </c>
      <c r="I59" s="127">
        <v>72</v>
      </c>
      <c r="J59" s="127" t="s">
        <v>299</v>
      </c>
      <c r="K59" s="124" t="s">
        <v>300</v>
      </c>
      <c r="L59" s="181" t="s">
        <v>206</v>
      </c>
    </row>
    <row r="60" spans="1:12">
      <c r="A60" s="162" t="s">
        <v>182</v>
      </c>
      <c r="B60" s="146" t="s">
        <v>365</v>
      </c>
      <c r="C60" s="135" t="s">
        <v>359</v>
      </c>
      <c r="D60" s="127" t="s">
        <v>359</v>
      </c>
      <c r="E60" s="151" t="s">
        <v>206</v>
      </c>
      <c r="F60" s="151"/>
      <c r="G60" s="134" t="s">
        <v>325</v>
      </c>
      <c r="H60" s="134" t="s">
        <v>325</v>
      </c>
      <c r="I60" s="127">
        <v>24</v>
      </c>
      <c r="J60" s="127" t="s">
        <v>308</v>
      </c>
      <c r="K60" s="124" t="s">
        <v>300</v>
      </c>
      <c r="L60" s="183" t="s">
        <v>206</v>
      </c>
    </row>
    <row r="61" spans="1:12">
      <c r="A61" s="162" t="s">
        <v>182</v>
      </c>
      <c r="B61" s="146" t="s">
        <v>365</v>
      </c>
      <c r="C61" s="135" t="s">
        <v>359</v>
      </c>
      <c r="D61" s="127" t="s">
        <v>359</v>
      </c>
      <c r="E61" s="151" t="s">
        <v>206</v>
      </c>
      <c r="F61" s="151"/>
      <c r="G61" s="138" t="s">
        <v>364</v>
      </c>
      <c r="H61" s="138" t="s">
        <v>364</v>
      </c>
      <c r="I61" s="127">
        <v>72</v>
      </c>
      <c r="J61" s="127" t="s">
        <v>299</v>
      </c>
      <c r="K61" s="124" t="s">
        <v>300</v>
      </c>
      <c r="L61" s="184"/>
    </row>
    <row r="62" spans="1:12">
      <c r="A62" s="162" t="s">
        <v>182</v>
      </c>
      <c r="B62" s="147" t="s">
        <v>366</v>
      </c>
      <c r="C62" s="135" t="s">
        <v>359</v>
      </c>
      <c r="D62" s="127" t="s">
        <v>359</v>
      </c>
      <c r="E62" s="151" t="s">
        <v>206</v>
      </c>
      <c r="F62" s="134"/>
      <c r="G62" s="134" t="s">
        <v>325</v>
      </c>
      <c r="H62" s="134" t="s">
        <v>325</v>
      </c>
      <c r="I62" s="127">
        <v>72</v>
      </c>
      <c r="J62" s="127" t="s">
        <v>308</v>
      </c>
      <c r="K62" s="124" t="s">
        <v>300</v>
      </c>
      <c r="L62" s="185" t="s">
        <v>206</v>
      </c>
    </row>
    <row r="63" spans="1:12">
      <c r="A63" s="162" t="s">
        <v>182</v>
      </c>
      <c r="B63" s="147" t="s">
        <v>366</v>
      </c>
      <c r="C63" s="135" t="s">
        <v>359</v>
      </c>
      <c r="D63" s="127" t="s">
        <v>359</v>
      </c>
      <c r="E63" s="151" t="s">
        <v>206</v>
      </c>
      <c r="F63" s="134"/>
      <c r="G63" s="138" t="s">
        <v>364</v>
      </c>
      <c r="H63" s="138" t="s">
        <v>364</v>
      </c>
      <c r="I63" s="127">
        <v>72</v>
      </c>
      <c r="J63" s="127" t="s">
        <v>299</v>
      </c>
      <c r="K63" s="124" t="s">
        <v>300</v>
      </c>
      <c r="L63" s="186"/>
    </row>
    <row r="64" spans="1:12">
      <c r="A64" s="164" t="s">
        <v>182</v>
      </c>
      <c r="B64" s="129" t="s">
        <v>367</v>
      </c>
      <c r="C64" s="135" t="s">
        <v>215</v>
      </c>
      <c r="D64" s="127"/>
      <c r="E64" s="127" t="s">
        <v>217</v>
      </c>
      <c r="F64" s="127"/>
      <c r="G64" s="127" t="s">
        <v>368</v>
      </c>
      <c r="H64" s="127" t="s">
        <v>368</v>
      </c>
      <c r="I64" s="127">
        <v>96</v>
      </c>
      <c r="J64" s="127" t="s">
        <v>320</v>
      </c>
      <c r="K64" s="124" t="s">
        <v>300</v>
      </c>
      <c r="L64" s="181" t="s">
        <v>217</v>
      </c>
    </row>
    <row r="65" spans="1:12">
      <c r="A65" s="164" t="s">
        <v>182</v>
      </c>
      <c r="B65" s="129" t="s">
        <v>75</v>
      </c>
      <c r="C65" s="135"/>
      <c r="D65" s="127"/>
      <c r="E65" s="127" t="s">
        <v>59</v>
      </c>
      <c r="F65" s="127"/>
      <c r="G65" s="130" t="s">
        <v>325</v>
      </c>
      <c r="H65" s="130" t="s">
        <v>325</v>
      </c>
      <c r="I65" s="127">
        <v>72</v>
      </c>
      <c r="J65" s="127" t="s">
        <v>308</v>
      </c>
      <c r="K65" s="124" t="s">
        <v>300</v>
      </c>
      <c r="L65" s="181" t="s">
        <v>59</v>
      </c>
    </row>
    <row r="66" spans="1:12">
      <c r="A66" s="164" t="s">
        <v>182</v>
      </c>
      <c r="B66" s="129" t="s">
        <v>67</v>
      </c>
      <c r="C66" s="135"/>
      <c r="D66" s="127"/>
      <c r="E66" s="127" t="s">
        <v>59</v>
      </c>
      <c r="F66" s="127"/>
      <c r="G66" s="130" t="s">
        <v>325</v>
      </c>
      <c r="H66" s="130" t="s">
        <v>325</v>
      </c>
      <c r="I66" s="127">
        <v>6</v>
      </c>
      <c r="J66" s="127" t="s">
        <v>308</v>
      </c>
      <c r="K66" s="124" t="s">
        <v>300</v>
      </c>
      <c r="L66" s="181" t="s">
        <v>59</v>
      </c>
    </row>
    <row r="67" spans="1:12">
      <c r="A67" s="164" t="s">
        <v>182</v>
      </c>
      <c r="B67" s="129" t="s">
        <v>369</v>
      </c>
      <c r="C67" s="127" t="s">
        <v>226</v>
      </c>
      <c r="D67" s="127" t="s">
        <v>370</v>
      </c>
      <c r="E67" s="127" t="s">
        <v>227</v>
      </c>
      <c r="F67" s="127"/>
      <c r="G67" s="127" t="s">
        <v>311</v>
      </c>
      <c r="H67" s="127" t="s">
        <v>311</v>
      </c>
      <c r="I67" s="127">
        <v>72</v>
      </c>
      <c r="J67" s="127" t="s">
        <v>308</v>
      </c>
      <c r="K67" s="124" t="s">
        <v>300</v>
      </c>
      <c r="L67" s="181" t="s">
        <v>227</v>
      </c>
    </row>
    <row r="68" spans="1:12">
      <c r="A68" s="164" t="s">
        <v>182</v>
      </c>
      <c r="B68" s="129" t="s">
        <v>26</v>
      </c>
      <c r="C68" s="135" t="s">
        <v>229</v>
      </c>
      <c r="D68" s="127" t="s">
        <v>372</v>
      </c>
      <c r="E68" s="127" t="s">
        <v>227</v>
      </c>
      <c r="F68" s="127"/>
      <c r="G68" s="130" t="s">
        <v>374</v>
      </c>
      <c r="H68" s="130" t="s">
        <v>374</v>
      </c>
      <c r="I68" s="127">
        <v>216</v>
      </c>
      <c r="J68" s="127" t="s">
        <v>308</v>
      </c>
      <c r="K68" s="124" t="s">
        <v>300</v>
      </c>
      <c r="L68" s="181" t="s">
        <v>227</v>
      </c>
    </row>
    <row r="69" spans="1:12">
      <c r="A69" s="164" t="s">
        <v>182</v>
      </c>
      <c r="B69" s="129" t="s">
        <v>375</v>
      </c>
      <c r="C69" s="135" t="s">
        <v>232</v>
      </c>
      <c r="D69" s="127" t="s">
        <v>376</v>
      </c>
      <c r="E69" s="127" t="s">
        <v>227</v>
      </c>
      <c r="F69" s="127"/>
      <c r="G69" s="127" t="s">
        <v>377</v>
      </c>
      <c r="H69" s="127" t="s">
        <v>377</v>
      </c>
      <c r="I69" s="127">
        <v>432</v>
      </c>
      <c r="J69" s="127" t="s">
        <v>308</v>
      </c>
      <c r="K69" s="124" t="s">
        <v>300</v>
      </c>
      <c r="L69" s="181" t="s">
        <v>227</v>
      </c>
    </row>
    <row r="70" spans="1:12">
      <c r="A70" s="164" t="s">
        <v>182</v>
      </c>
      <c r="B70" s="129" t="s">
        <v>378</v>
      </c>
      <c r="C70" s="135"/>
      <c r="D70" s="127"/>
      <c r="E70" s="127" t="s">
        <v>227</v>
      </c>
      <c r="F70" s="127"/>
      <c r="G70" s="127" t="s">
        <v>379</v>
      </c>
      <c r="H70" s="127" t="s">
        <v>379</v>
      </c>
      <c r="I70" s="127">
        <v>432</v>
      </c>
      <c r="J70" s="127" t="s">
        <v>308</v>
      </c>
      <c r="K70" s="124" t="s">
        <v>300</v>
      </c>
      <c r="L70" s="181" t="s">
        <v>227</v>
      </c>
    </row>
    <row r="71" spans="1:12">
      <c r="A71" s="164" t="s">
        <v>182</v>
      </c>
      <c r="B71" s="129" t="s">
        <v>380</v>
      </c>
      <c r="C71" s="135" t="s">
        <v>232</v>
      </c>
      <c r="D71" s="127" t="s">
        <v>376</v>
      </c>
      <c r="E71" s="127" t="s">
        <v>227</v>
      </c>
      <c r="F71" s="127"/>
      <c r="G71" s="127" t="s">
        <v>381</v>
      </c>
      <c r="H71" s="127" t="s">
        <v>381</v>
      </c>
      <c r="I71" s="127">
        <v>432</v>
      </c>
      <c r="J71" s="127" t="s">
        <v>308</v>
      </c>
      <c r="K71" s="124" t="s">
        <v>300</v>
      </c>
      <c r="L71" s="181" t="s">
        <v>227</v>
      </c>
    </row>
    <row r="72" spans="1:12" ht="26">
      <c r="A72" s="164" t="s">
        <v>182</v>
      </c>
      <c r="B72" s="129" t="s">
        <v>382</v>
      </c>
      <c r="C72" s="135" t="s">
        <v>236</v>
      </c>
      <c r="D72" s="127"/>
      <c r="E72" s="127" t="s">
        <v>237</v>
      </c>
      <c r="F72" s="127"/>
      <c r="G72" s="130" t="s">
        <v>325</v>
      </c>
      <c r="H72" s="130" t="s">
        <v>325</v>
      </c>
      <c r="I72" s="127">
        <v>72</v>
      </c>
      <c r="J72" s="127" t="s">
        <v>308</v>
      </c>
      <c r="K72" s="124" t="s">
        <v>300</v>
      </c>
      <c r="L72" s="181" t="s">
        <v>237</v>
      </c>
    </row>
    <row r="73" spans="1:12" ht="26">
      <c r="A73" s="164" t="s">
        <v>182</v>
      </c>
      <c r="B73" s="129" t="s">
        <v>383</v>
      </c>
      <c r="C73" s="135" t="s">
        <v>239</v>
      </c>
      <c r="D73" s="127"/>
      <c r="E73" s="127" t="s">
        <v>237</v>
      </c>
      <c r="F73" s="127"/>
      <c r="G73" s="130" t="s">
        <v>325</v>
      </c>
      <c r="H73" s="130" t="s">
        <v>325</v>
      </c>
      <c r="I73" s="127">
        <v>24</v>
      </c>
      <c r="J73" s="127" t="s">
        <v>308</v>
      </c>
      <c r="K73" s="124" t="s">
        <v>300</v>
      </c>
      <c r="L73" s="181" t="s">
        <v>237</v>
      </c>
    </row>
    <row r="74" spans="1:12" ht="26">
      <c r="A74" s="164" t="s">
        <v>182</v>
      </c>
      <c r="B74" s="129" t="s">
        <v>384</v>
      </c>
      <c r="C74" s="135" t="s">
        <v>241</v>
      </c>
      <c r="D74" s="127" t="s">
        <v>385</v>
      </c>
      <c r="E74" s="127" t="s">
        <v>59</v>
      </c>
      <c r="F74" s="127"/>
      <c r="G74" s="130" t="s">
        <v>345</v>
      </c>
      <c r="H74" s="130" t="s">
        <v>345</v>
      </c>
      <c r="I74" s="127">
        <v>400</v>
      </c>
      <c r="J74" s="127" t="s">
        <v>308</v>
      </c>
      <c r="K74" s="124" t="s">
        <v>300</v>
      </c>
      <c r="L74" s="181" t="s">
        <v>59</v>
      </c>
    </row>
    <row r="75" spans="1:12">
      <c r="A75" s="164" t="s">
        <v>182</v>
      </c>
      <c r="B75" s="129" t="s">
        <v>78</v>
      </c>
      <c r="C75" s="135" t="s">
        <v>386</v>
      </c>
      <c r="D75" s="127" t="s">
        <v>387</v>
      </c>
      <c r="E75" s="127" t="s">
        <v>97</v>
      </c>
      <c r="F75" s="127"/>
      <c r="G75" s="130" t="s">
        <v>325</v>
      </c>
      <c r="H75" s="130" t="s">
        <v>325</v>
      </c>
      <c r="I75" s="127">
        <v>504</v>
      </c>
      <c r="J75" s="127" t="s">
        <v>308</v>
      </c>
      <c r="K75" s="124" t="s">
        <v>300</v>
      </c>
      <c r="L75" s="181" t="s">
        <v>97</v>
      </c>
    </row>
    <row r="76" spans="1:12">
      <c r="A76" s="164" t="s">
        <v>182</v>
      </c>
      <c r="B76" s="129" t="s">
        <v>78</v>
      </c>
      <c r="C76" s="135" t="s">
        <v>388</v>
      </c>
      <c r="D76" s="127" t="s">
        <v>387</v>
      </c>
      <c r="E76" s="127" t="s">
        <v>53</v>
      </c>
      <c r="F76" s="127"/>
      <c r="G76" s="130" t="s">
        <v>325</v>
      </c>
      <c r="H76" s="130" t="s">
        <v>325</v>
      </c>
      <c r="I76" s="127">
        <v>504</v>
      </c>
      <c r="J76" s="127" t="s">
        <v>308</v>
      </c>
      <c r="K76" s="124" t="s">
        <v>300</v>
      </c>
      <c r="L76" s="181" t="s">
        <v>53</v>
      </c>
    </row>
    <row r="77" spans="1:12">
      <c r="A77" s="164" t="s">
        <v>247</v>
      </c>
      <c r="B77" s="129" t="s">
        <v>348</v>
      </c>
      <c r="C77" s="135" t="s">
        <v>55</v>
      </c>
      <c r="D77" s="127"/>
      <c r="E77" s="127" t="s">
        <v>248</v>
      </c>
      <c r="F77" s="127" t="s">
        <v>26</v>
      </c>
      <c r="G77" s="130" t="s">
        <v>26</v>
      </c>
      <c r="H77" s="130" t="s">
        <v>26</v>
      </c>
      <c r="I77" s="127">
        <v>2</v>
      </c>
      <c r="J77" s="127" t="s">
        <v>299</v>
      </c>
      <c r="K77" s="124" t="s">
        <v>300</v>
      </c>
      <c r="L77" s="181" t="s">
        <v>248</v>
      </c>
    </row>
    <row r="78" spans="1:12">
      <c r="A78" s="164" t="s">
        <v>247</v>
      </c>
      <c r="B78" s="129" t="s">
        <v>349</v>
      </c>
      <c r="C78" s="135" t="s">
        <v>55</v>
      </c>
      <c r="D78" s="127"/>
      <c r="E78" s="127" t="s">
        <v>248</v>
      </c>
      <c r="F78" s="127" t="s">
        <v>26</v>
      </c>
      <c r="G78" s="130" t="s">
        <v>26</v>
      </c>
      <c r="H78" s="130" t="s">
        <v>26</v>
      </c>
      <c r="I78" s="127">
        <v>2</v>
      </c>
      <c r="J78" s="127" t="s">
        <v>299</v>
      </c>
      <c r="K78" s="124" t="s">
        <v>300</v>
      </c>
      <c r="L78" s="181" t="s">
        <v>248</v>
      </c>
    </row>
    <row r="79" spans="1:12">
      <c r="A79" s="164" t="s">
        <v>247</v>
      </c>
      <c r="B79" s="129" t="s">
        <v>350</v>
      </c>
      <c r="C79" s="135" t="s">
        <v>55</v>
      </c>
      <c r="D79" s="127"/>
      <c r="E79" s="127" t="s">
        <v>248</v>
      </c>
      <c r="F79" s="127" t="s">
        <v>26</v>
      </c>
      <c r="G79" s="130" t="s">
        <v>26</v>
      </c>
      <c r="H79" s="130" t="s">
        <v>26</v>
      </c>
      <c r="I79" s="127">
        <v>2</v>
      </c>
      <c r="J79" s="127" t="s">
        <v>299</v>
      </c>
      <c r="K79" s="124" t="s">
        <v>300</v>
      </c>
      <c r="L79" s="181" t="s">
        <v>248</v>
      </c>
    </row>
    <row r="80" spans="1:12">
      <c r="A80" s="164" t="s">
        <v>247</v>
      </c>
      <c r="B80" s="129" t="s">
        <v>351</v>
      </c>
      <c r="C80" s="129" t="s">
        <v>389</v>
      </c>
      <c r="D80" s="127" t="s">
        <v>390</v>
      </c>
      <c r="E80" s="127"/>
      <c r="F80" s="127" t="s">
        <v>249</v>
      </c>
      <c r="G80" s="127" t="s">
        <v>354</v>
      </c>
      <c r="H80" s="127" t="s">
        <v>354</v>
      </c>
      <c r="I80" s="127">
        <v>30</v>
      </c>
      <c r="J80" s="127" t="s">
        <v>299</v>
      </c>
      <c r="K80" s="124" t="s">
        <v>300</v>
      </c>
      <c r="L80" s="181"/>
    </row>
    <row r="81" spans="1:12">
      <c r="A81" s="164" t="s">
        <v>247</v>
      </c>
      <c r="B81" s="129" t="s">
        <v>355</v>
      </c>
      <c r="C81" s="129" t="s">
        <v>389</v>
      </c>
      <c r="D81" s="127" t="s">
        <v>391</v>
      </c>
      <c r="E81" s="127" t="s">
        <v>185</v>
      </c>
      <c r="F81" s="127" t="s">
        <v>199</v>
      </c>
      <c r="G81" s="127" t="s">
        <v>304</v>
      </c>
      <c r="H81" s="127" t="s">
        <v>304</v>
      </c>
      <c r="I81" s="127">
        <v>30</v>
      </c>
      <c r="J81" s="127" t="s">
        <v>299</v>
      </c>
      <c r="K81" s="124" t="s">
        <v>300</v>
      </c>
      <c r="L81" s="181" t="s">
        <v>185</v>
      </c>
    </row>
    <row r="82" spans="1:12">
      <c r="A82" s="164" t="s">
        <v>247</v>
      </c>
      <c r="B82" s="129" t="s">
        <v>392</v>
      </c>
      <c r="C82" s="129" t="s">
        <v>393</v>
      </c>
      <c r="D82" s="127" t="s">
        <v>394</v>
      </c>
      <c r="E82" s="127" t="s">
        <v>53</v>
      </c>
      <c r="F82" s="127" t="s">
        <v>218</v>
      </c>
      <c r="G82" s="127" t="s">
        <v>368</v>
      </c>
      <c r="H82" s="127" t="s">
        <v>368</v>
      </c>
      <c r="I82" s="127">
        <v>96</v>
      </c>
      <c r="J82" s="127" t="s">
        <v>299</v>
      </c>
      <c r="K82" s="124" t="s">
        <v>300</v>
      </c>
      <c r="L82" s="181" t="s">
        <v>53</v>
      </c>
    </row>
    <row r="83" spans="1:12">
      <c r="A83" s="164" t="s">
        <v>247</v>
      </c>
      <c r="B83" s="129" t="s">
        <v>75</v>
      </c>
      <c r="C83" s="129" t="s">
        <v>395</v>
      </c>
      <c r="D83" s="127"/>
      <c r="E83" s="127" t="s">
        <v>252</v>
      </c>
      <c r="F83" s="127" t="s">
        <v>221</v>
      </c>
      <c r="G83" s="130" t="s">
        <v>325</v>
      </c>
      <c r="H83" s="130" t="s">
        <v>325</v>
      </c>
      <c r="I83" s="127">
        <v>72</v>
      </c>
      <c r="J83" s="127" t="s">
        <v>308</v>
      </c>
      <c r="K83" s="124" t="s">
        <v>300</v>
      </c>
      <c r="L83" s="181" t="s">
        <v>252</v>
      </c>
    </row>
    <row r="84" spans="1:12">
      <c r="A84" s="164" t="s">
        <v>247</v>
      </c>
      <c r="B84" s="129" t="s">
        <v>369</v>
      </c>
      <c r="C84" s="129" t="s">
        <v>226</v>
      </c>
      <c r="D84" s="129" t="s">
        <v>370</v>
      </c>
      <c r="E84" s="127" t="s">
        <v>255</v>
      </c>
      <c r="F84" s="127" t="s">
        <v>228</v>
      </c>
      <c r="G84" s="127" t="s">
        <v>311</v>
      </c>
      <c r="H84" s="127" t="s">
        <v>311</v>
      </c>
      <c r="I84" s="127">
        <v>24</v>
      </c>
      <c r="J84" s="127" t="s">
        <v>308</v>
      </c>
      <c r="K84" s="124" t="s">
        <v>300</v>
      </c>
      <c r="L84" s="181" t="s">
        <v>255</v>
      </c>
    </row>
    <row r="85" spans="1:12">
      <c r="A85" s="164" t="s">
        <v>247</v>
      </c>
      <c r="B85" s="129" t="s">
        <v>371</v>
      </c>
      <c r="C85" s="129" t="s">
        <v>77</v>
      </c>
      <c r="D85" s="127" t="s">
        <v>372</v>
      </c>
      <c r="E85" s="127" t="s">
        <v>255</v>
      </c>
      <c r="F85" s="127" t="s">
        <v>231</v>
      </c>
      <c r="G85" s="130" t="s">
        <v>374</v>
      </c>
      <c r="H85" s="130" t="s">
        <v>374</v>
      </c>
      <c r="I85" s="127">
        <v>72</v>
      </c>
      <c r="J85" s="127" t="s">
        <v>308</v>
      </c>
      <c r="K85" s="124" t="s">
        <v>300</v>
      </c>
      <c r="L85" s="181" t="s">
        <v>255</v>
      </c>
    </row>
    <row r="86" spans="1:12">
      <c r="A86" s="164" t="s">
        <v>247</v>
      </c>
      <c r="B86" s="129" t="s">
        <v>375</v>
      </c>
      <c r="C86" s="129" t="s">
        <v>77</v>
      </c>
      <c r="D86" s="127" t="s">
        <v>372</v>
      </c>
      <c r="E86" s="127" t="s">
        <v>255</v>
      </c>
      <c r="F86" s="127" t="s">
        <v>234</v>
      </c>
      <c r="G86" s="127" t="s">
        <v>377</v>
      </c>
      <c r="H86" s="127" t="s">
        <v>377</v>
      </c>
      <c r="I86" s="127">
        <v>72</v>
      </c>
      <c r="J86" s="127" t="s">
        <v>308</v>
      </c>
      <c r="K86" s="124" t="s">
        <v>300</v>
      </c>
      <c r="L86" s="181" t="s">
        <v>255</v>
      </c>
    </row>
    <row r="87" spans="1:12">
      <c r="A87" s="164" t="s">
        <v>247</v>
      </c>
      <c r="B87" s="129" t="s">
        <v>378</v>
      </c>
      <c r="C87" s="129" t="s">
        <v>77</v>
      </c>
      <c r="D87" s="127" t="s">
        <v>372</v>
      </c>
      <c r="E87" s="127" t="s">
        <v>255</v>
      </c>
      <c r="F87" s="127" t="s">
        <v>34</v>
      </c>
      <c r="G87" s="127" t="s">
        <v>379</v>
      </c>
      <c r="H87" s="127" t="s">
        <v>379</v>
      </c>
      <c r="I87" s="127">
        <v>72</v>
      </c>
      <c r="J87" s="127" t="s">
        <v>308</v>
      </c>
      <c r="K87" s="124" t="s">
        <v>300</v>
      </c>
      <c r="L87" s="181" t="s">
        <v>255</v>
      </c>
    </row>
    <row r="88" spans="1:12" ht="26">
      <c r="A88" s="164" t="s">
        <v>247</v>
      </c>
      <c r="B88" s="129" t="s">
        <v>396</v>
      </c>
      <c r="C88" s="129" t="s">
        <v>239</v>
      </c>
      <c r="D88" s="127"/>
      <c r="E88" s="127" t="s">
        <v>237</v>
      </c>
      <c r="F88" s="127" t="s">
        <v>221</v>
      </c>
      <c r="G88" s="130" t="s">
        <v>325</v>
      </c>
      <c r="H88" s="130" t="s">
        <v>325</v>
      </c>
      <c r="I88" s="127">
        <v>24</v>
      </c>
      <c r="J88" s="127" t="s">
        <v>308</v>
      </c>
      <c r="K88" s="124" t="s">
        <v>300</v>
      </c>
      <c r="L88" s="181" t="s">
        <v>237</v>
      </c>
    </row>
    <row r="89" spans="1:12" ht="26">
      <c r="A89" s="164" t="s">
        <v>247</v>
      </c>
      <c r="B89" s="129" t="s">
        <v>397</v>
      </c>
      <c r="C89" s="129" t="s">
        <v>239</v>
      </c>
      <c r="D89" s="129"/>
      <c r="E89" s="127" t="s">
        <v>97</v>
      </c>
      <c r="F89" s="127" t="s">
        <v>221</v>
      </c>
      <c r="G89" s="130" t="s">
        <v>325</v>
      </c>
      <c r="H89" s="130" t="s">
        <v>325</v>
      </c>
      <c r="I89" s="127">
        <v>24</v>
      </c>
      <c r="J89" s="127" t="s">
        <v>308</v>
      </c>
      <c r="K89" s="124" t="s">
        <v>300</v>
      </c>
      <c r="L89" s="181" t="s">
        <v>97</v>
      </c>
    </row>
    <row r="90" spans="1:12" ht="26">
      <c r="A90" s="164" t="s">
        <v>247</v>
      </c>
      <c r="B90" s="129" t="s">
        <v>398</v>
      </c>
      <c r="C90" s="129" t="s">
        <v>239</v>
      </c>
      <c r="D90" s="129"/>
      <c r="E90" s="127" t="s">
        <v>97</v>
      </c>
      <c r="F90" s="127"/>
      <c r="G90" s="130" t="s">
        <v>325</v>
      </c>
      <c r="H90" s="130" t="s">
        <v>325</v>
      </c>
      <c r="I90" s="127">
        <v>24</v>
      </c>
      <c r="J90" s="127" t="s">
        <v>308</v>
      </c>
      <c r="K90" s="124" t="s">
        <v>300</v>
      </c>
      <c r="L90" s="181" t="s">
        <v>97</v>
      </c>
    </row>
    <row r="91" spans="1:12">
      <c r="A91" s="164" t="s">
        <v>247</v>
      </c>
      <c r="B91" s="129" t="s">
        <v>384</v>
      </c>
      <c r="C91" s="129" t="s">
        <v>399</v>
      </c>
      <c r="D91" s="129" t="s">
        <v>400</v>
      </c>
      <c r="E91" s="127" t="s">
        <v>252</v>
      </c>
      <c r="F91" s="127" t="s">
        <v>22</v>
      </c>
      <c r="G91" s="130" t="s">
        <v>345</v>
      </c>
      <c r="H91" s="130" t="s">
        <v>345</v>
      </c>
      <c r="I91" s="127">
        <v>240</v>
      </c>
      <c r="J91" s="127" t="s">
        <v>308</v>
      </c>
      <c r="K91" s="124" t="s">
        <v>300</v>
      </c>
      <c r="L91" s="181" t="s">
        <v>252</v>
      </c>
    </row>
    <row r="92" spans="1:12">
      <c r="A92" s="164" t="s">
        <v>247</v>
      </c>
      <c r="B92" s="129" t="s">
        <v>18</v>
      </c>
      <c r="C92" s="129" t="s">
        <v>77</v>
      </c>
      <c r="D92" s="129"/>
      <c r="E92" s="127" t="s">
        <v>97</v>
      </c>
      <c r="F92" s="127" t="s">
        <v>221</v>
      </c>
      <c r="G92" s="130" t="s">
        <v>325</v>
      </c>
      <c r="H92" s="130" t="s">
        <v>325</v>
      </c>
      <c r="I92" s="127">
        <v>72</v>
      </c>
      <c r="J92" s="127" t="s">
        <v>308</v>
      </c>
      <c r="K92" s="124" t="s">
        <v>300</v>
      </c>
      <c r="L92" s="181" t="s">
        <v>97</v>
      </c>
    </row>
    <row r="93" spans="1:12" ht="23.15" customHeight="1">
      <c r="A93" s="165" t="s">
        <v>247</v>
      </c>
      <c r="B93" s="148" t="s">
        <v>260</v>
      </c>
      <c r="C93" s="148" t="s">
        <v>261</v>
      </c>
      <c r="D93" s="148"/>
      <c r="E93" s="153" t="s">
        <v>97</v>
      </c>
      <c r="F93" s="153" t="s">
        <v>221</v>
      </c>
      <c r="G93" s="136" t="s">
        <v>325</v>
      </c>
      <c r="H93" s="136" t="s">
        <v>325</v>
      </c>
      <c r="I93" s="127">
        <v>24</v>
      </c>
      <c r="J93" s="127" t="s">
        <v>308</v>
      </c>
      <c r="K93" s="124" t="s">
        <v>300</v>
      </c>
      <c r="L93" s="187" t="s">
        <v>97</v>
      </c>
    </row>
    <row r="94" spans="1:12" ht="23.15" customHeight="1">
      <c r="A94" s="165" t="s">
        <v>247</v>
      </c>
      <c r="B94" s="148" t="s">
        <v>260</v>
      </c>
      <c r="C94" s="148" t="s">
        <v>261</v>
      </c>
      <c r="D94" s="148"/>
      <c r="E94" s="153" t="s">
        <v>97</v>
      </c>
      <c r="F94" s="153" t="s">
        <v>221</v>
      </c>
      <c r="G94" s="136" t="s">
        <v>26</v>
      </c>
      <c r="H94" s="136" t="s">
        <v>26</v>
      </c>
      <c r="I94" s="127">
        <v>1</v>
      </c>
      <c r="J94" s="127" t="s">
        <v>299</v>
      </c>
      <c r="K94" s="124" t="s">
        <v>300</v>
      </c>
      <c r="L94" s="188"/>
    </row>
    <row r="95" spans="1:12" ht="23.15" customHeight="1">
      <c r="A95" s="162" t="s">
        <v>247</v>
      </c>
      <c r="B95" s="146" t="s">
        <v>401</v>
      </c>
      <c r="C95" s="146" t="s">
        <v>261</v>
      </c>
      <c r="D95" s="146"/>
      <c r="E95" s="151" t="s">
        <v>97</v>
      </c>
      <c r="F95" s="151" t="s">
        <v>221</v>
      </c>
      <c r="G95" s="134" t="s">
        <v>325</v>
      </c>
      <c r="H95" s="134" t="s">
        <v>325</v>
      </c>
      <c r="I95" s="127">
        <v>24</v>
      </c>
      <c r="J95" s="127" t="s">
        <v>308</v>
      </c>
      <c r="K95" s="124" t="s">
        <v>300</v>
      </c>
      <c r="L95" s="183" t="s">
        <v>97</v>
      </c>
    </row>
    <row r="96" spans="1:12" ht="23.15" customHeight="1">
      <c r="A96" s="162" t="s">
        <v>247</v>
      </c>
      <c r="B96" s="146" t="s">
        <v>401</v>
      </c>
      <c r="C96" s="146" t="s">
        <v>261</v>
      </c>
      <c r="D96" s="146"/>
      <c r="E96" s="151" t="s">
        <v>97</v>
      </c>
      <c r="F96" s="151" t="s">
        <v>221</v>
      </c>
      <c r="G96" s="134" t="s">
        <v>26</v>
      </c>
      <c r="H96" s="134" t="s">
        <v>26</v>
      </c>
      <c r="I96" s="127">
        <v>1</v>
      </c>
      <c r="J96" s="127" t="s">
        <v>299</v>
      </c>
      <c r="K96" s="124" t="s">
        <v>300</v>
      </c>
      <c r="L96" s="184"/>
    </row>
    <row r="97" spans="1:12" ht="23.15" customHeight="1">
      <c r="A97" s="165" t="s">
        <v>247</v>
      </c>
      <c r="B97" s="148" t="s">
        <v>402</v>
      </c>
      <c r="C97" s="148" t="s">
        <v>261</v>
      </c>
      <c r="D97" s="148"/>
      <c r="E97" s="153" t="s">
        <v>97</v>
      </c>
      <c r="F97" s="153" t="s">
        <v>221</v>
      </c>
      <c r="G97" s="136" t="s">
        <v>325</v>
      </c>
      <c r="H97" s="136" t="s">
        <v>325</v>
      </c>
      <c r="I97" s="127">
        <v>24</v>
      </c>
      <c r="J97" s="127" t="s">
        <v>308</v>
      </c>
      <c r="K97" s="124" t="s">
        <v>300</v>
      </c>
      <c r="L97" s="187" t="s">
        <v>97</v>
      </c>
    </row>
    <row r="98" spans="1:12" ht="23.15" customHeight="1">
      <c r="A98" s="165" t="s">
        <v>247</v>
      </c>
      <c r="B98" s="148" t="s">
        <v>402</v>
      </c>
      <c r="C98" s="148" t="s">
        <v>261</v>
      </c>
      <c r="D98" s="148"/>
      <c r="E98" s="153" t="s">
        <v>97</v>
      </c>
      <c r="F98" s="153" t="s">
        <v>221</v>
      </c>
      <c r="G98" s="136" t="s">
        <v>26</v>
      </c>
      <c r="H98" s="136" t="s">
        <v>26</v>
      </c>
      <c r="I98" s="127">
        <v>1</v>
      </c>
      <c r="J98" s="127" t="s">
        <v>299</v>
      </c>
      <c r="K98" s="124" t="s">
        <v>300</v>
      </c>
      <c r="L98" s="188"/>
    </row>
    <row r="99" spans="1:12" ht="23.15" customHeight="1">
      <c r="A99" s="164" t="s">
        <v>403</v>
      </c>
      <c r="B99" s="131" t="s">
        <v>50</v>
      </c>
      <c r="C99" s="124" t="s">
        <v>51</v>
      </c>
      <c r="D99" s="124"/>
      <c r="E99" s="124" t="s">
        <v>53</v>
      </c>
      <c r="F99" s="124" t="s">
        <v>54</v>
      </c>
      <c r="G99" s="124" t="s">
        <v>298</v>
      </c>
      <c r="H99" s="124" t="s">
        <v>298</v>
      </c>
      <c r="I99" s="124">
        <v>24</v>
      </c>
      <c r="J99" s="127" t="s">
        <v>299</v>
      </c>
      <c r="K99" s="124" t="s">
        <v>300</v>
      </c>
      <c r="L99" s="180" t="s">
        <v>53</v>
      </c>
    </row>
    <row r="100" spans="1:12">
      <c r="A100" s="164" t="s">
        <v>403</v>
      </c>
      <c r="B100" s="131" t="s">
        <v>56</v>
      </c>
      <c r="C100" s="124" t="s">
        <v>51</v>
      </c>
      <c r="D100" s="124"/>
      <c r="E100" s="124" t="s">
        <v>53</v>
      </c>
      <c r="F100" s="124" t="s">
        <v>57</v>
      </c>
      <c r="G100" s="124" t="s">
        <v>301</v>
      </c>
      <c r="H100" s="124" t="s">
        <v>301</v>
      </c>
      <c r="I100" s="124">
        <v>24</v>
      </c>
      <c r="J100" s="127" t="s">
        <v>299</v>
      </c>
      <c r="K100" s="124" t="s">
        <v>301</v>
      </c>
      <c r="L100" s="180" t="s">
        <v>53</v>
      </c>
    </row>
    <row r="101" spans="1:12">
      <c r="A101" s="164" t="s">
        <v>403</v>
      </c>
      <c r="B101" s="132" t="s">
        <v>302</v>
      </c>
      <c r="C101" s="124" t="s">
        <v>51</v>
      </c>
      <c r="D101" s="127" t="s">
        <v>404</v>
      </c>
      <c r="E101" s="124" t="s">
        <v>59</v>
      </c>
      <c r="F101" s="124" t="s">
        <v>60</v>
      </c>
      <c r="G101" s="124" t="s">
        <v>305</v>
      </c>
      <c r="H101" s="124" t="s">
        <v>305</v>
      </c>
      <c r="I101" s="124">
        <v>30</v>
      </c>
      <c r="J101" s="127" t="s">
        <v>299</v>
      </c>
      <c r="K101" s="124" t="s">
        <v>300</v>
      </c>
      <c r="L101" s="180" t="s">
        <v>59</v>
      </c>
    </row>
    <row r="102" spans="1:12">
      <c r="A102" s="164" t="s">
        <v>403</v>
      </c>
      <c r="B102" s="132" t="s">
        <v>63</v>
      </c>
      <c r="C102" s="124" t="s">
        <v>51</v>
      </c>
      <c r="D102" s="127" t="s">
        <v>306</v>
      </c>
      <c r="E102" s="124" t="s">
        <v>59</v>
      </c>
      <c r="F102" s="124" t="s">
        <v>64</v>
      </c>
      <c r="G102" s="124" t="s">
        <v>305</v>
      </c>
      <c r="H102" s="124" t="s">
        <v>305</v>
      </c>
      <c r="I102" s="124">
        <v>30</v>
      </c>
      <c r="J102" s="127" t="s">
        <v>299</v>
      </c>
      <c r="K102" s="124" t="s">
        <v>300</v>
      </c>
      <c r="L102" s="180" t="s">
        <v>59</v>
      </c>
    </row>
    <row r="103" spans="1:12" ht="25">
      <c r="A103" s="164" t="s">
        <v>403</v>
      </c>
      <c r="B103" s="132" t="s">
        <v>67</v>
      </c>
      <c r="C103" s="124" t="s">
        <v>68</v>
      </c>
      <c r="D103" s="127"/>
      <c r="E103" s="124" t="s">
        <v>59</v>
      </c>
      <c r="F103" s="124" t="s">
        <v>70</v>
      </c>
      <c r="G103" s="133" t="s">
        <v>307</v>
      </c>
      <c r="H103" s="133" t="s">
        <v>307</v>
      </c>
      <c r="I103" s="124">
        <v>9</v>
      </c>
      <c r="J103" s="127" t="s">
        <v>308</v>
      </c>
      <c r="K103" s="124" t="s">
        <v>300</v>
      </c>
      <c r="L103" s="180" t="s">
        <v>59</v>
      </c>
    </row>
    <row r="104" spans="1:12" ht="25">
      <c r="A104" s="164" t="s">
        <v>403</v>
      </c>
      <c r="B104" s="132" t="s">
        <v>75</v>
      </c>
      <c r="C104" s="124" t="s">
        <v>76</v>
      </c>
      <c r="D104" s="127"/>
      <c r="E104" s="124" t="s">
        <v>59</v>
      </c>
      <c r="F104" s="124" t="s">
        <v>70</v>
      </c>
      <c r="G104" s="123" t="s">
        <v>307</v>
      </c>
      <c r="H104" s="123" t="s">
        <v>307</v>
      </c>
      <c r="I104" s="124">
        <v>72</v>
      </c>
      <c r="J104" s="127" t="s">
        <v>308</v>
      </c>
      <c r="K104" s="124" t="s">
        <v>300</v>
      </c>
      <c r="L104" s="180" t="s">
        <v>59</v>
      </c>
    </row>
    <row r="105" spans="1:12" ht="25">
      <c r="A105" s="164" t="s">
        <v>403</v>
      </c>
      <c r="B105" s="132" t="s">
        <v>78</v>
      </c>
      <c r="C105" s="124" t="s">
        <v>309</v>
      </c>
      <c r="D105" s="127" t="s">
        <v>405</v>
      </c>
      <c r="E105" s="124" t="s">
        <v>53</v>
      </c>
      <c r="F105" s="124" t="s">
        <v>70</v>
      </c>
      <c r="G105" s="123" t="s">
        <v>307</v>
      </c>
      <c r="H105" s="123" t="s">
        <v>307</v>
      </c>
      <c r="I105" s="124">
        <v>504</v>
      </c>
      <c r="J105" s="127" t="s">
        <v>308</v>
      </c>
      <c r="K105" s="124" t="s">
        <v>300</v>
      </c>
      <c r="L105" s="180" t="s">
        <v>53</v>
      </c>
    </row>
    <row r="106" spans="1:12" ht="25">
      <c r="A106" s="164" t="s">
        <v>403</v>
      </c>
      <c r="B106" s="132" t="s">
        <v>83</v>
      </c>
      <c r="C106" s="124" t="s">
        <v>84</v>
      </c>
      <c r="D106" s="127"/>
      <c r="E106" s="124" t="s">
        <v>53</v>
      </c>
      <c r="F106" s="124" t="s">
        <v>70</v>
      </c>
      <c r="G106" s="123" t="s">
        <v>311</v>
      </c>
      <c r="H106" s="123" t="s">
        <v>311</v>
      </c>
      <c r="I106" s="124">
        <v>24</v>
      </c>
      <c r="J106" s="127" t="s">
        <v>308</v>
      </c>
      <c r="K106" s="124" t="s">
        <v>300</v>
      </c>
      <c r="L106" s="180" t="s">
        <v>53</v>
      </c>
    </row>
    <row r="107" spans="1:12">
      <c r="A107" s="164" t="s">
        <v>403</v>
      </c>
      <c r="B107" s="132" t="s">
        <v>312</v>
      </c>
      <c r="C107" s="124" t="s">
        <v>88</v>
      </c>
      <c r="D107" s="127" t="s">
        <v>406</v>
      </c>
      <c r="E107" s="124" t="s">
        <v>53</v>
      </c>
      <c r="F107" s="124" t="s">
        <v>90</v>
      </c>
      <c r="G107" s="123" t="s">
        <v>314</v>
      </c>
      <c r="H107" s="123" t="s">
        <v>314</v>
      </c>
      <c r="I107" s="124">
        <v>600</v>
      </c>
      <c r="J107" s="127" t="s">
        <v>308</v>
      </c>
      <c r="K107" s="124" t="s">
        <v>300</v>
      </c>
      <c r="L107" s="180" t="s">
        <v>53</v>
      </c>
    </row>
    <row r="108" spans="1:12">
      <c r="A108" s="166" t="s">
        <v>403</v>
      </c>
      <c r="B108" s="141" t="s">
        <v>407</v>
      </c>
      <c r="C108" s="141" t="s">
        <v>309</v>
      </c>
      <c r="D108" s="152"/>
      <c r="E108" s="152" t="s">
        <v>59</v>
      </c>
      <c r="F108" s="152" t="s">
        <v>93</v>
      </c>
      <c r="G108" s="123" t="s">
        <v>316</v>
      </c>
      <c r="H108" s="123" t="s">
        <v>316</v>
      </c>
      <c r="I108" s="124">
        <v>4</v>
      </c>
      <c r="J108" s="127" t="s">
        <v>299</v>
      </c>
      <c r="K108" s="124" t="s">
        <v>300</v>
      </c>
      <c r="L108" s="155" t="s">
        <v>59</v>
      </c>
    </row>
    <row r="109" spans="1:12">
      <c r="A109" s="167"/>
      <c r="B109" s="141"/>
      <c r="C109" s="141"/>
      <c r="D109" s="152"/>
      <c r="E109" s="152"/>
      <c r="F109" s="152"/>
      <c r="G109" s="123" t="s">
        <v>307</v>
      </c>
      <c r="H109" s="123" t="s">
        <v>307</v>
      </c>
      <c r="I109" s="124">
        <v>504</v>
      </c>
      <c r="J109" s="127" t="s">
        <v>308</v>
      </c>
      <c r="K109" s="124" t="s">
        <v>300</v>
      </c>
      <c r="L109" s="189"/>
    </row>
    <row r="110" spans="1:12">
      <c r="A110" s="168" t="s">
        <v>408</v>
      </c>
      <c r="B110" s="132" t="s">
        <v>318</v>
      </c>
      <c r="C110" s="124" t="s">
        <v>51</v>
      </c>
      <c r="D110" s="124"/>
      <c r="E110" s="124" t="s">
        <v>53</v>
      </c>
      <c r="F110" s="124" t="s">
        <v>104</v>
      </c>
      <c r="G110" s="137" t="s">
        <v>319</v>
      </c>
      <c r="H110" s="137" t="s">
        <v>319</v>
      </c>
      <c r="I110" s="124">
        <v>3</v>
      </c>
      <c r="J110" s="127" t="s">
        <v>299</v>
      </c>
      <c r="K110" s="124" t="s">
        <v>300</v>
      </c>
      <c r="L110" s="180" t="s">
        <v>53</v>
      </c>
    </row>
    <row r="111" spans="1:12" ht="37.5">
      <c r="A111" s="168" t="s">
        <v>408</v>
      </c>
      <c r="B111" s="132" t="s">
        <v>106</v>
      </c>
      <c r="C111" s="124" t="s">
        <v>51</v>
      </c>
      <c r="D111" s="124"/>
      <c r="E111" s="124" t="s">
        <v>107</v>
      </c>
      <c r="F111" s="124" t="s">
        <v>108</v>
      </c>
      <c r="G111" s="137" t="s">
        <v>319</v>
      </c>
      <c r="H111" s="137" t="s">
        <v>319</v>
      </c>
      <c r="I111" s="125">
        <v>0.4</v>
      </c>
      <c r="J111" s="127" t="s">
        <v>299</v>
      </c>
      <c r="K111" s="124" t="s">
        <v>300</v>
      </c>
      <c r="L111" s="180" t="s">
        <v>107</v>
      </c>
    </row>
    <row r="112" spans="1:12" ht="15.9" customHeight="1">
      <c r="A112" s="169" t="s">
        <v>408</v>
      </c>
      <c r="B112" s="139" t="s">
        <v>321</v>
      </c>
      <c r="C112" s="139" t="s">
        <v>322</v>
      </c>
      <c r="D112" s="139"/>
      <c r="E112" s="139" t="s">
        <v>115</v>
      </c>
      <c r="F112" s="139" t="s">
        <v>116</v>
      </c>
      <c r="G112" s="128" t="s">
        <v>307</v>
      </c>
      <c r="H112" s="128" t="s">
        <v>307</v>
      </c>
      <c r="I112" s="124">
        <v>168</v>
      </c>
      <c r="J112" s="127" t="s">
        <v>308</v>
      </c>
      <c r="K112" s="124" t="s">
        <v>300</v>
      </c>
      <c r="L112" s="143" t="s">
        <v>115</v>
      </c>
    </row>
    <row r="113" spans="1:12" ht="25">
      <c r="A113" s="169" t="s">
        <v>408</v>
      </c>
      <c r="B113" s="139" t="s">
        <v>321</v>
      </c>
      <c r="C113" s="139" t="s">
        <v>322</v>
      </c>
      <c r="D113" s="139"/>
      <c r="E113" s="139" t="s">
        <v>115</v>
      </c>
      <c r="F113" s="139" t="s">
        <v>116</v>
      </c>
      <c r="G113" s="128" t="s">
        <v>319</v>
      </c>
      <c r="H113" s="128" t="s">
        <v>319</v>
      </c>
      <c r="I113" s="124">
        <v>4</v>
      </c>
      <c r="J113" s="127" t="s">
        <v>299</v>
      </c>
      <c r="K113" s="124" t="s">
        <v>300</v>
      </c>
      <c r="L113" s="182"/>
    </row>
    <row r="114" spans="1:12" ht="15.9" customHeight="1">
      <c r="A114" s="169" t="s">
        <v>408</v>
      </c>
      <c r="B114" s="140" t="s">
        <v>324</v>
      </c>
      <c r="C114" s="140" t="s">
        <v>309</v>
      </c>
      <c r="D114" s="140"/>
      <c r="E114" s="140" t="s">
        <v>122</v>
      </c>
      <c r="F114" s="140" t="s">
        <v>123</v>
      </c>
      <c r="G114" s="137" t="s">
        <v>325</v>
      </c>
      <c r="H114" s="137" t="s">
        <v>325</v>
      </c>
      <c r="I114" s="126">
        <v>72</v>
      </c>
      <c r="J114" s="127" t="s">
        <v>308</v>
      </c>
      <c r="K114" s="124" t="s">
        <v>300</v>
      </c>
      <c r="L114" s="190" t="s">
        <v>122</v>
      </c>
    </row>
    <row r="115" spans="1:12">
      <c r="A115" s="169" t="s">
        <v>408</v>
      </c>
      <c r="B115" s="140" t="s">
        <v>324</v>
      </c>
      <c r="C115" s="140" t="s">
        <v>309</v>
      </c>
      <c r="D115" s="127" t="s">
        <v>326</v>
      </c>
      <c r="E115" s="140" t="s">
        <v>122</v>
      </c>
      <c r="F115" s="140" t="s">
        <v>123</v>
      </c>
      <c r="G115" s="137" t="s">
        <v>327</v>
      </c>
      <c r="H115" s="137" t="s">
        <v>327</v>
      </c>
      <c r="I115" s="126">
        <v>96</v>
      </c>
      <c r="J115" s="127" t="s">
        <v>299</v>
      </c>
      <c r="K115" s="124" t="s">
        <v>300</v>
      </c>
      <c r="L115" s="191"/>
    </row>
    <row r="116" spans="1:12">
      <c r="A116" s="169" t="s">
        <v>408</v>
      </c>
      <c r="B116" s="140" t="s">
        <v>324</v>
      </c>
      <c r="C116" s="140" t="s">
        <v>309</v>
      </c>
      <c r="D116" s="140"/>
      <c r="E116" s="140" t="s">
        <v>122</v>
      </c>
      <c r="F116" s="140" t="s">
        <v>123</v>
      </c>
      <c r="G116" s="128" t="s">
        <v>319</v>
      </c>
      <c r="H116" s="128" t="s">
        <v>319</v>
      </c>
      <c r="I116" s="126">
        <v>2</v>
      </c>
      <c r="J116" s="127" t="s">
        <v>299</v>
      </c>
      <c r="K116" s="124" t="s">
        <v>300</v>
      </c>
      <c r="L116" s="192"/>
    </row>
    <row r="117" spans="1:12" ht="15.9" customHeight="1">
      <c r="A117" s="169" t="s">
        <v>408</v>
      </c>
      <c r="B117" s="139" t="s">
        <v>328</v>
      </c>
      <c r="C117" s="139" t="s">
        <v>76</v>
      </c>
      <c r="D117" s="139"/>
      <c r="E117" s="139" t="s">
        <v>53</v>
      </c>
      <c r="F117" s="139" t="s">
        <v>108</v>
      </c>
      <c r="G117" s="128" t="s">
        <v>307</v>
      </c>
      <c r="H117" s="128" t="s">
        <v>307</v>
      </c>
      <c r="I117" s="124">
        <v>85</v>
      </c>
      <c r="J117" s="127" t="s">
        <v>308</v>
      </c>
      <c r="K117" s="124" t="s">
        <v>300</v>
      </c>
      <c r="L117" s="143" t="s">
        <v>53</v>
      </c>
    </row>
    <row r="118" spans="1:12" ht="37.5">
      <c r="A118" s="169" t="s">
        <v>408</v>
      </c>
      <c r="B118" s="139" t="s">
        <v>328</v>
      </c>
      <c r="C118" s="139" t="s">
        <v>76</v>
      </c>
      <c r="D118" s="139"/>
      <c r="E118" s="139" t="s">
        <v>53</v>
      </c>
      <c r="F118" s="139" t="s">
        <v>108</v>
      </c>
      <c r="G118" s="128" t="s">
        <v>319</v>
      </c>
      <c r="H118" s="128" t="s">
        <v>319</v>
      </c>
      <c r="I118" s="124">
        <v>10</v>
      </c>
      <c r="J118" s="127" t="s">
        <v>299</v>
      </c>
      <c r="K118" s="124" t="s">
        <v>300</v>
      </c>
      <c r="L118" s="182"/>
    </row>
    <row r="119" spans="1:12" ht="15.9" customHeight="1">
      <c r="A119" s="169" t="s">
        <v>408</v>
      </c>
      <c r="B119" s="140" t="s">
        <v>329</v>
      </c>
      <c r="C119" s="140" t="s">
        <v>84</v>
      </c>
      <c r="D119" s="140"/>
      <c r="E119" s="140" t="s">
        <v>129</v>
      </c>
      <c r="F119" s="140" t="s">
        <v>108</v>
      </c>
      <c r="G119" s="137" t="s">
        <v>311</v>
      </c>
      <c r="H119" s="137" t="s">
        <v>311</v>
      </c>
      <c r="I119" s="124">
        <v>24</v>
      </c>
      <c r="J119" s="127" t="s">
        <v>308</v>
      </c>
      <c r="K119" s="124" t="s">
        <v>300</v>
      </c>
      <c r="L119" s="190" t="s">
        <v>129</v>
      </c>
    </row>
    <row r="120" spans="1:12" ht="37.5">
      <c r="A120" s="169" t="s">
        <v>408</v>
      </c>
      <c r="B120" s="140" t="s">
        <v>329</v>
      </c>
      <c r="C120" s="140" t="s">
        <v>84</v>
      </c>
      <c r="D120" s="140"/>
      <c r="E120" s="140" t="s">
        <v>129</v>
      </c>
      <c r="F120" s="140" t="s">
        <v>108</v>
      </c>
      <c r="G120" s="128" t="s">
        <v>319</v>
      </c>
      <c r="H120" s="128" t="s">
        <v>319</v>
      </c>
      <c r="I120" s="124">
        <v>6</v>
      </c>
      <c r="J120" s="127" t="s">
        <v>299</v>
      </c>
      <c r="K120" s="124" t="s">
        <v>300</v>
      </c>
      <c r="L120" s="192"/>
    </row>
    <row r="121" spans="1:12" ht="15.9" customHeight="1">
      <c r="A121" s="169" t="s">
        <v>408</v>
      </c>
      <c r="B121" s="139" t="s">
        <v>330</v>
      </c>
      <c r="C121" s="139" t="s">
        <v>131</v>
      </c>
      <c r="D121" s="139"/>
      <c r="E121" s="139" t="s">
        <v>53</v>
      </c>
      <c r="F121" s="139" t="s">
        <v>108</v>
      </c>
      <c r="G121" s="124" t="s">
        <v>331</v>
      </c>
      <c r="H121" s="124" t="s">
        <v>331</v>
      </c>
      <c r="I121" s="124">
        <v>110</v>
      </c>
      <c r="J121" s="127" t="s">
        <v>308</v>
      </c>
      <c r="K121" s="124" t="s">
        <v>300</v>
      </c>
      <c r="L121" s="143" t="s">
        <v>53</v>
      </c>
    </row>
    <row r="122" spans="1:12" ht="37.5">
      <c r="A122" s="169" t="s">
        <v>408</v>
      </c>
      <c r="B122" s="139" t="s">
        <v>330</v>
      </c>
      <c r="C122" s="139" t="s">
        <v>131</v>
      </c>
      <c r="D122" s="139"/>
      <c r="E122" s="139" t="s">
        <v>53</v>
      </c>
      <c r="F122" s="139" t="s">
        <v>108</v>
      </c>
      <c r="G122" s="128" t="s">
        <v>319</v>
      </c>
      <c r="H122" s="128" t="s">
        <v>319</v>
      </c>
      <c r="I122" s="124">
        <v>8</v>
      </c>
      <c r="J122" s="127" t="s">
        <v>299</v>
      </c>
      <c r="K122" s="124" t="s">
        <v>300</v>
      </c>
      <c r="L122" s="182"/>
    </row>
    <row r="123" spans="1:12" ht="15.9" customHeight="1">
      <c r="A123" s="169" t="s">
        <v>408</v>
      </c>
      <c r="B123" s="139" t="s">
        <v>332</v>
      </c>
      <c r="C123" s="139" t="s">
        <v>134</v>
      </c>
      <c r="D123" s="139"/>
      <c r="E123" s="139" t="s">
        <v>107</v>
      </c>
      <c r="F123" s="139" t="s">
        <v>108</v>
      </c>
      <c r="G123" s="124" t="s">
        <v>307</v>
      </c>
      <c r="H123" s="124" t="s">
        <v>307</v>
      </c>
      <c r="I123" s="124">
        <v>168</v>
      </c>
      <c r="J123" s="127" t="s">
        <v>308</v>
      </c>
      <c r="K123" s="124" t="s">
        <v>300</v>
      </c>
      <c r="L123" s="143" t="s">
        <v>107</v>
      </c>
    </row>
    <row r="124" spans="1:12" ht="37.5">
      <c r="A124" s="169" t="s">
        <v>408</v>
      </c>
      <c r="B124" s="139" t="s">
        <v>332</v>
      </c>
      <c r="C124" s="139" t="s">
        <v>134</v>
      </c>
      <c r="D124" s="139"/>
      <c r="E124" s="139" t="s">
        <v>107</v>
      </c>
      <c r="F124" s="139" t="s">
        <v>108</v>
      </c>
      <c r="G124" s="128" t="s">
        <v>319</v>
      </c>
      <c r="H124" s="128" t="s">
        <v>319</v>
      </c>
      <c r="I124" s="124">
        <v>30</v>
      </c>
      <c r="J124" s="127" t="s">
        <v>299</v>
      </c>
      <c r="K124" s="124" t="s">
        <v>300</v>
      </c>
      <c r="L124" s="182"/>
    </row>
    <row r="125" spans="1:12" ht="15.9" customHeight="1">
      <c r="A125" s="169" t="s">
        <v>408</v>
      </c>
      <c r="B125" s="139" t="s">
        <v>332</v>
      </c>
      <c r="C125" s="139" t="s">
        <v>134</v>
      </c>
      <c r="D125" s="139"/>
      <c r="E125" s="139" t="s">
        <v>53</v>
      </c>
      <c r="F125" s="139" t="s">
        <v>108</v>
      </c>
      <c r="G125" s="128" t="s">
        <v>307</v>
      </c>
      <c r="H125" s="128" t="s">
        <v>307</v>
      </c>
      <c r="I125" s="124">
        <v>500</v>
      </c>
      <c r="J125" s="127" t="s">
        <v>308</v>
      </c>
      <c r="K125" s="124" t="s">
        <v>300</v>
      </c>
      <c r="L125" s="143" t="s">
        <v>53</v>
      </c>
    </row>
    <row r="126" spans="1:12" ht="37.5">
      <c r="A126" s="169" t="s">
        <v>408</v>
      </c>
      <c r="B126" s="139" t="s">
        <v>332</v>
      </c>
      <c r="C126" s="139" t="s">
        <v>134</v>
      </c>
      <c r="D126" s="139"/>
      <c r="E126" s="139" t="s">
        <v>53</v>
      </c>
      <c r="F126" s="139" t="s">
        <v>108</v>
      </c>
      <c r="G126" s="128" t="s">
        <v>319</v>
      </c>
      <c r="H126" s="128" t="s">
        <v>319</v>
      </c>
      <c r="I126" s="124">
        <v>10</v>
      </c>
      <c r="J126" s="127" t="s">
        <v>299</v>
      </c>
      <c r="K126" s="124" t="s">
        <v>300</v>
      </c>
      <c r="L126" s="182"/>
    </row>
    <row r="127" spans="1:12">
      <c r="A127" s="168" t="s">
        <v>409</v>
      </c>
      <c r="B127" s="129" t="s">
        <v>348</v>
      </c>
      <c r="C127" s="135" t="s">
        <v>55</v>
      </c>
      <c r="D127" s="127"/>
      <c r="E127" s="127" t="s">
        <v>185</v>
      </c>
      <c r="F127" s="127"/>
      <c r="G127" s="127" t="s">
        <v>26</v>
      </c>
      <c r="H127" s="127" t="s">
        <v>26</v>
      </c>
      <c r="I127" s="127">
        <v>2</v>
      </c>
      <c r="J127" s="127" t="s">
        <v>299</v>
      </c>
      <c r="K127" s="124" t="s">
        <v>300</v>
      </c>
      <c r="L127" s="181" t="s">
        <v>185</v>
      </c>
    </row>
    <row r="128" spans="1:12">
      <c r="A128" s="168" t="s">
        <v>409</v>
      </c>
      <c r="B128" s="129" t="s">
        <v>349</v>
      </c>
      <c r="C128" s="135" t="s">
        <v>55</v>
      </c>
      <c r="D128" s="127"/>
      <c r="E128" s="127" t="s">
        <v>188</v>
      </c>
      <c r="F128" s="127"/>
      <c r="G128" s="127" t="s">
        <v>26</v>
      </c>
      <c r="H128" s="127" t="s">
        <v>26</v>
      </c>
      <c r="I128" s="127">
        <v>1</v>
      </c>
      <c r="J128" s="127" t="s">
        <v>299</v>
      </c>
      <c r="K128" s="124" t="s">
        <v>300</v>
      </c>
      <c r="L128" s="181" t="s">
        <v>188</v>
      </c>
    </row>
    <row r="129" spans="1:12">
      <c r="A129" s="168" t="s">
        <v>409</v>
      </c>
      <c r="B129" s="129" t="s">
        <v>350</v>
      </c>
      <c r="C129" s="135" t="s">
        <v>55</v>
      </c>
      <c r="D129" s="127"/>
      <c r="E129" s="127" t="s">
        <v>188</v>
      </c>
      <c r="F129" s="127"/>
      <c r="G129" s="127" t="s">
        <v>26</v>
      </c>
      <c r="H129" s="127" t="s">
        <v>26</v>
      </c>
      <c r="I129" s="127">
        <v>1</v>
      </c>
      <c r="J129" s="127" t="s">
        <v>299</v>
      </c>
      <c r="K129" s="124" t="s">
        <v>300</v>
      </c>
      <c r="L129" s="181" t="s">
        <v>188</v>
      </c>
    </row>
    <row r="130" spans="1:12" ht="26">
      <c r="A130" s="168" t="s">
        <v>409</v>
      </c>
      <c r="B130" s="129" t="s">
        <v>351</v>
      </c>
      <c r="C130" s="135" t="s">
        <v>352</v>
      </c>
      <c r="D130" s="127" t="s">
        <v>353</v>
      </c>
      <c r="E130" s="127" t="s">
        <v>193</v>
      </c>
      <c r="F130" s="127"/>
      <c r="G130" s="130" t="s">
        <v>354</v>
      </c>
      <c r="H130" s="130" t="s">
        <v>354</v>
      </c>
      <c r="I130" s="127">
        <v>24</v>
      </c>
      <c r="J130" s="127" t="s">
        <v>299</v>
      </c>
      <c r="K130" s="124" t="s">
        <v>300</v>
      </c>
      <c r="L130" s="181" t="s">
        <v>193</v>
      </c>
    </row>
    <row r="131" spans="1:12">
      <c r="A131" s="168" t="s">
        <v>409</v>
      </c>
      <c r="B131" s="129" t="s">
        <v>355</v>
      </c>
      <c r="C131" s="135" t="s">
        <v>196</v>
      </c>
      <c r="D131" s="127" t="s">
        <v>410</v>
      </c>
      <c r="E131" s="127" t="s">
        <v>198</v>
      </c>
      <c r="F131" s="127"/>
      <c r="G131" s="130" t="s">
        <v>305</v>
      </c>
      <c r="H131" s="130" t="s">
        <v>305</v>
      </c>
      <c r="I131" s="127">
        <v>48</v>
      </c>
      <c r="J131" s="127" t="s">
        <v>299</v>
      </c>
      <c r="K131" s="124" t="s">
        <v>300</v>
      </c>
      <c r="L131" s="181" t="s">
        <v>198</v>
      </c>
    </row>
    <row r="132" spans="1:12">
      <c r="A132" s="168" t="s">
        <v>409</v>
      </c>
      <c r="B132" s="129" t="s">
        <v>58</v>
      </c>
      <c r="C132" s="135" t="s">
        <v>201</v>
      </c>
      <c r="D132" s="127" t="s">
        <v>357</v>
      </c>
      <c r="E132" s="127" t="s">
        <v>59</v>
      </c>
      <c r="F132" s="127"/>
      <c r="G132" s="130" t="s">
        <v>305</v>
      </c>
      <c r="H132" s="130" t="s">
        <v>305</v>
      </c>
      <c r="I132" s="127">
        <v>24</v>
      </c>
      <c r="J132" s="127" t="s">
        <v>299</v>
      </c>
      <c r="K132" s="124" t="s">
        <v>300</v>
      </c>
      <c r="L132" s="181" t="s">
        <v>59</v>
      </c>
    </row>
    <row r="133" spans="1:12">
      <c r="A133" s="168" t="s">
        <v>409</v>
      </c>
      <c r="B133" s="129" t="s">
        <v>358</v>
      </c>
      <c r="C133" s="135" t="s">
        <v>359</v>
      </c>
      <c r="D133" s="127" t="s">
        <v>359</v>
      </c>
      <c r="E133" s="127" t="s">
        <v>206</v>
      </c>
      <c r="F133" s="127"/>
      <c r="G133" s="130" t="s">
        <v>360</v>
      </c>
      <c r="H133" s="130" t="s">
        <v>360</v>
      </c>
      <c r="I133" s="127">
        <v>72</v>
      </c>
      <c r="J133" s="127" t="s">
        <v>299</v>
      </c>
      <c r="K133" s="124" t="s">
        <v>300</v>
      </c>
      <c r="L133" s="181" t="s">
        <v>206</v>
      </c>
    </row>
    <row r="134" spans="1:12">
      <c r="A134" s="168" t="s">
        <v>409</v>
      </c>
      <c r="B134" s="129" t="s">
        <v>361</v>
      </c>
      <c r="C134" s="135" t="s">
        <v>359</v>
      </c>
      <c r="D134" s="127" t="s">
        <v>359</v>
      </c>
      <c r="E134" s="127" t="s">
        <v>206</v>
      </c>
      <c r="F134" s="127"/>
      <c r="G134" s="130" t="s">
        <v>362</v>
      </c>
      <c r="H134" s="130" t="s">
        <v>362</v>
      </c>
      <c r="I134" s="127">
        <v>72</v>
      </c>
      <c r="J134" s="127" t="s">
        <v>299</v>
      </c>
      <c r="K134" s="124" t="s">
        <v>300</v>
      </c>
      <c r="L134" s="181" t="s">
        <v>206</v>
      </c>
    </row>
    <row r="135" spans="1:12">
      <c r="A135" s="168" t="s">
        <v>409</v>
      </c>
      <c r="B135" s="129" t="s">
        <v>363</v>
      </c>
      <c r="C135" s="135" t="s">
        <v>359</v>
      </c>
      <c r="D135" s="127" t="s">
        <v>359</v>
      </c>
      <c r="E135" s="127" t="s">
        <v>206</v>
      </c>
      <c r="F135" s="127"/>
      <c r="G135" s="130" t="s">
        <v>364</v>
      </c>
      <c r="H135" s="130" t="s">
        <v>364</v>
      </c>
      <c r="I135" s="127">
        <v>72</v>
      </c>
      <c r="J135" s="127" t="s">
        <v>299</v>
      </c>
      <c r="K135" s="124" t="s">
        <v>300</v>
      </c>
      <c r="L135" s="181" t="s">
        <v>206</v>
      </c>
    </row>
    <row r="136" spans="1:12">
      <c r="A136" s="169" t="s">
        <v>409</v>
      </c>
      <c r="B136" s="146" t="s">
        <v>365</v>
      </c>
      <c r="C136" s="135" t="s">
        <v>359</v>
      </c>
      <c r="D136" s="127" t="s">
        <v>359</v>
      </c>
      <c r="E136" s="151" t="s">
        <v>206</v>
      </c>
      <c r="F136" s="151"/>
      <c r="G136" s="134" t="s">
        <v>325</v>
      </c>
      <c r="H136" s="134" t="s">
        <v>325</v>
      </c>
      <c r="I136" s="127">
        <v>24</v>
      </c>
      <c r="J136" s="127" t="s">
        <v>308</v>
      </c>
      <c r="K136" s="124" t="s">
        <v>300</v>
      </c>
      <c r="L136" s="183" t="s">
        <v>206</v>
      </c>
    </row>
    <row r="137" spans="1:12">
      <c r="A137" s="169" t="s">
        <v>409</v>
      </c>
      <c r="B137" s="146" t="s">
        <v>365</v>
      </c>
      <c r="C137" s="135" t="s">
        <v>359</v>
      </c>
      <c r="D137" s="127" t="s">
        <v>359</v>
      </c>
      <c r="E137" s="151" t="s">
        <v>206</v>
      </c>
      <c r="F137" s="151"/>
      <c r="G137" s="134" t="s">
        <v>364</v>
      </c>
      <c r="H137" s="134" t="s">
        <v>364</v>
      </c>
      <c r="I137" s="127">
        <v>72</v>
      </c>
      <c r="J137" s="127" t="s">
        <v>299</v>
      </c>
      <c r="K137" s="124" t="s">
        <v>300</v>
      </c>
      <c r="L137" s="184"/>
    </row>
    <row r="138" spans="1:12">
      <c r="A138" s="169" t="s">
        <v>409</v>
      </c>
      <c r="B138" s="149" t="s">
        <v>366</v>
      </c>
      <c r="C138" s="135" t="s">
        <v>359</v>
      </c>
      <c r="D138" s="127" t="s">
        <v>359</v>
      </c>
      <c r="E138" s="150" t="s">
        <v>206</v>
      </c>
      <c r="F138" s="134"/>
      <c r="G138" s="134" t="s">
        <v>325</v>
      </c>
      <c r="H138" s="134" t="s">
        <v>325</v>
      </c>
      <c r="I138" s="127">
        <v>72</v>
      </c>
      <c r="J138" s="127" t="s">
        <v>308</v>
      </c>
      <c r="K138" s="124" t="s">
        <v>300</v>
      </c>
      <c r="L138" s="185" t="s">
        <v>206</v>
      </c>
    </row>
    <row r="139" spans="1:12">
      <c r="A139" s="169" t="s">
        <v>409</v>
      </c>
      <c r="B139" s="149" t="s">
        <v>366</v>
      </c>
      <c r="C139" s="135" t="s">
        <v>359</v>
      </c>
      <c r="D139" s="127" t="s">
        <v>359</v>
      </c>
      <c r="E139" s="150" t="s">
        <v>206</v>
      </c>
      <c r="F139" s="134"/>
      <c r="G139" s="134" t="s">
        <v>364</v>
      </c>
      <c r="H139" s="134" t="s">
        <v>364</v>
      </c>
      <c r="I139" s="127">
        <v>72</v>
      </c>
      <c r="J139" s="127" t="s">
        <v>299</v>
      </c>
      <c r="K139" s="124" t="s">
        <v>300</v>
      </c>
      <c r="L139" s="186"/>
    </row>
    <row r="140" spans="1:12">
      <c r="A140" s="168" t="s">
        <v>409</v>
      </c>
      <c r="B140" s="129" t="s">
        <v>367</v>
      </c>
      <c r="C140" s="135" t="s">
        <v>215</v>
      </c>
      <c r="D140" s="127" t="s">
        <v>394</v>
      </c>
      <c r="E140" s="127" t="s">
        <v>217</v>
      </c>
      <c r="F140" s="127"/>
      <c r="G140" s="130" t="s">
        <v>368</v>
      </c>
      <c r="H140" s="130" t="s">
        <v>368</v>
      </c>
      <c r="I140" s="127">
        <v>96</v>
      </c>
      <c r="J140" s="127" t="s">
        <v>299</v>
      </c>
      <c r="K140" s="124" t="s">
        <v>300</v>
      </c>
      <c r="L140" s="181" t="s">
        <v>217</v>
      </c>
    </row>
    <row r="141" spans="1:12">
      <c r="A141" s="168" t="s">
        <v>409</v>
      </c>
      <c r="B141" s="129" t="s">
        <v>75</v>
      </c>
      <c r="C141" s="135" t="s">
        <v>411</v>
      </c>
      <c r="D141" s="127"/>
      <c r="E141" s="127" t="s">
        <v>59</v>
      </c>
      <c r="F141" s="127"/>
      <c r="G141" s="130" t="s">
        <v>325</v>
      </c>
      <c r="H141" s="130" t="s">
        <v>325</v>
      </c>
      <c r="I141" s="127">
        <v>72</v>
      </c>
      <c r="J141" s="127" t="s">
        <v>308</v>
      </c>
      <c r="K141" s="124" t="s">
        <v>300</v>
      </c>
      <c r="L141" s="181" t="s">
        <v>59</v>
      </c>
    </row>
    <row r="142" spans="1:12">
      <c r="A142" s="168" t="s">
        <v>409</v>
      </c>
      <c r="B142" s="129" t="s">
        <v>67</v>
      </c>
      <c r="C142" s="135" t="s">
        <v>412</v>
      </c>
      <c r="D142" s="127"/>
      <c r="E142" s="127" t="s">
        <v>59</v>
      </c>
      <c r="F142" s="127"/>
      <c r="G142" s="130" t="s">
        <v>325</v>
      </c>
      <c r="H142" s="130" t="s">
        <v>325</v>
      </c>
      <c r="I142" s="127">
        <v>6</v>
      </c>
      <c r="J142" s="127" t="s">
        <v>308</v>
      </c>
      <c r="K142" s="124" t="s">
        <v>300</v>
      </c>
      <c r="L142" s="181" t="s">
        <v>59</v>
      </c>
    </row>
    <row r="143" spans="1:12">
      <c r="A143" s="168" t="s">
        <v>409</v>
      </c>
      <c r="B143" s="129" t="s">
        <v>369</v>
      </c>
      <c r="C143" s="135" t="s">
        <v>226</v>
      </c>
      <c r="D143" s="127" t="s">
        <v>370</v>
      </c>
      <c r="E143" s="127" t="s">
        <v>227</v>
      </c>
      <c r="F143" s="127"/>
      <c r="G143" s="130" t="s">
        <v>311</v>
      </c>
      <c r="H143" s="130" t="s">
        <v>311</v>
      </c>
      <c r="I143" s="127">
        <v>72</v>
      </c>
      <c r="J143" s="127" t="s">
        <v>308</v>
      </c>
      <c r="K143" s="124" t="s">
        <v>300</v>
      </c>
      <c r="L143" s="181" t="s">
        <v>227</v>
      </c>
    </row>
    <row r="144" spans="1:12">
      <c r="A144" s="168" t="s">
        <v>409</v>
      </c>
      <c r="B144" s="129" t="s">
        <v>371</v>
      </c>
      <c r="C144" s="135" t="s">
        <v>229</v>
      </c>
      <c r="D144" s="127" t="s">
        <v>372</v>
      </c>
      <c r="E144" s="127" t="s">
        <v>227</v>
      </c>
      <c r="F144" s="127"/>
      <c r="G144" s="130" t="s">
        <v>374</v>
      </c>
      <c r="H144" s="130" t="s">
        <v>374</v>
      </c>
      <c r="I144" s="127">
        <v>72</v>
      </c>
      <c r="J144" s="127" t="s">
        <v>308</v>
      </c>
      <c r="K144" s="124" t="s">
        <v>300</v>
      </c>
      <c r="L144" s="181" t="s">
        <v>227</v>
      </c>
    </row>
    <row r="145" spans="1:12">
      <c r="A145" s="168" t="s">
        <v>409</v>
      </c>
      <c r="B145" s="129" t="s">
        <v>375</v>
      </c>
      <c r="C145" s="135" t="s">
        <v>232</v>
      </c>
      <c r="D145" s="127" t="s">
        <v>372</v>
      </c>
      <c r="E145" s="127" t="s">
        <v>227</v>
      </c>
      <c r="F145" s="127"/>
      <c r="G145" s="130" t="s">
        <v>377</v>
      </c>
      <c r="H145" s="130" t="s">
        <v>377</v>
      </c>
      <c r="I145" s="127">
        <v>72</v>
      </c>
      <c r="J145" s="127" t="s">
        <v>308</v>
      </c>
      <c r="K145" s="124" t="s">
        <v>300</v>
      </c>
      <c r="L145" s="181" t="s">
        <v>227</v>
      </c>
    </row>
    <row r="146" spans="1:12">
      <c r="A146" s="168" t="s">
        <v>409</v>
      </c>
      <c r="B146" s="129" t="s">
        <v>378</v>
      </c>
      <c r="C146" s="135" t="s">
        <v>232</v>
      </c>
      <c r="D146" s="127" t="s">
        <v>372</v>
      </c>
      <c r="E146" s="127" t="s">
        <v>227</v>
      </c>
      <c r="F146" s="127"/>
      <c r="G146" s="130" t="s">
        <v>379</v>
      </c>
      <c r="H146" s="130" t="s">
        <v>379</v>
      </c>
      <c r="I146" s="127">
        <v>72</v>
      </c>
      <c r="J146" s="127" t="s">
        <v>308</v>
      </c>
      <c r="K146" s="124" t="s">
        <v>300</v>
      </c>
      <c r="L146" s="181" t="s">
        <v>227</v>
      </c>
    </row>
    <row r="147" spans="1:12">
      <c r="A147" s="168" t="s">
        <v>409</v>
      </c>
      <c r="B147" s="129" t="s">
        <v>380</v>
      </c>
      <c r="C147" s="135" t="s">
        <v>232</v>
      </c>
      <c r="D147" s="127" t="s">
        <v>372</v>
      </c>
      <c r="E147" s="127" t="s">
        <v>227</v>
      </c>
      <c r="F147" s="127"/>
      <c r="G147" s="130" t="s">
        <v>381</v>
      </c>
      <c r="H147" s="130" t="s">
        <v>381</v>
      </c>
      <c r="I147" s="127">
        <v>72</v>
      </c>
      <c r="J147" s="127" t="s">
        <v>308</v>
      </c>
      <c r="K147" s="124" t="s">
        <v>300</v>
      </c>
      <c r="L147" s="181" t="s">
        <v>227</v>
      </c>
    </row>
    <row r="148" spans="1:12" ht="26">
      <c r="A148" s="168" t="s">
        <v>409</v>
      </c>
      <c r="B148" s="129" t="s">
        <v>382</v>
      </c>
      <c r="C148" s="135" t="s">
        <v>236</v>
      </c>
      <c r="D148" s="127"/>
      <c r="E148" s="127" t="s">
        <v>237</v>
      </c>
      <c r="F148" s="127"/>
      <c r="G148" s="130" t="s">
        <v>325</v>
      </c>
      <c r="H148" s="130" t="s">
        <v>325</v>
      </c>
      <c r="I148" s="127">
        <v>72</v>
      </c>
      <c r="J148" s="127" t="s">
        <v>308</v>
      </c>
      <c r="K148" s="124" t="s">
        <v>300</v>
      </c>
      <c r="L148" s="181" t="s">
        <v>237</v>
      </c>
    </row>
    <row r="149" spans="1:12" ht="26">
      <c r="A149" s="168" t="s">
        <v>409</v>
      </c>
      <c r="B149" s="129" t="s">
        <v>383</v>
      </c>
      <c r="C149" s="135" t="s">
        <v>239</v>
      </c>
      <c r="D149" s="127"/>
      <c r="E149" s="127" t="s">
        <v>237</v>
      </c>
      <c r="F149" s="127"/>
      <c r="G149" s="130" t="s">
        <v>325</v>
      </c>
      <c r="H149" s="130" t="s">
        <v>325</v>
      </c>
      <c r="I149" s="127">
        <v>24</v>
      </c>
      <c r="J149" s="127" t="s">
        <v>308</v>
      </c>
      <c r="K149" s="124" t="s">
        <v>300</v>
      </c>
      <c r="L149" s="181" t="s">
        <v>237</v>
      </c>
    </row>
    <row r="150" spans="1:12" ht="26">
      <c r="A150" s="168" t="s">
        <v>409</v>
      </c>
      <c r="B150" s="129" t="s">
        <v>384</v>
      </c>
      <c r="C150" s="135" t="s">
        <v>241</v>
      </c>
      <c r="D150" s="127" t="s">
        <v>385</v>
      </c>
      <c r="E150" s="127" t="s">
        <v>59</v>
      </c>
      <c r="F150" s="127"/>
      <c r="G150" s="130" t="s">
        <v>345</v>
      </c>
      <c r="H150" s="130" t="s">
        <v>345</v>
      </c>
      <c r="I150" s="127">
        <v>400</v>
      </c>
      <c r="J150" s="127" t="s">
        <v>308</v>
      </c>
      <c r="K150" s="124" t="s">
        <v>300</v>
      </c>
      <c r="L150" s="181" t="s">
        <v>59</v>
      </c>
    </row>
    <row r="151" spans="1:12">
      <c r="A151" s="168" t="s">
        <v>409</v>
      </c>
      <c r="B151" s="129" t="s">
        <v>18</v>
      </c>
      <c r="C151" s="135" t="s">
        <v>386</v>
      </c>
      <c r="D151" s="127" t="s">
        <v>387</v>
      </c>
      <c r="E151" s="127" t="s">
        <v>97</v>
      </c>
      <c r="F151" s="127"/>
      <c r="G151" s="130" t="s">
        <v>325</v>
      </c>
      <c r="H151" s="130" t="s">
        <v>325</v>
      </c>
      <c r="I151" s="127">
        <v>504</v>
      </c>
      <c r="J151" s="127" t="s">
        <v>308</v>
      </c>
      <c r="K151" s="124" t="s">
        <v>300</v>
      </c>
      <c r="L151" s="181" t="s">
        <v>97</v>
      </c>
    </row>
    <row r="152" spans="1:12">
      <c r="A152" s="173" t="s">
        <v>409</v>
      </c>
      <c r="B152" s="174" t="s">
        <v>78</v>
      </c>
      <c r="C152" s="177" t="s">
        <v>388</v>
      </c>
      <c r="D152" s="175" t="s">
        <v>387</v>
      </c>
      <c r="E152" s="175" t="s">
        <v>53</v>
      </c>
      <c r="F152" s="175"/>
      <c r="G152" s="176" t="s">
        <v>325</v>
      </c>
      <c r="H152" s="176" t="s">
        <v>325</v>
      </c>
      <c r="I152" s="175">
        <v>504</v>
      </c>
      <c r="J152" s="175" t="s">
        <v>308</v>
      </c>
      <c r="K152" s="124" t="s">
        <v>300</v>
      </c>
      <c r="L152" s="127" t="s">
        <v>53</v>
      </c>
    </row>
  </sheetData>
  <phoneticPr fontId="37" type="noConversion"/>
  <pageMargins left="0.7" right="0.7" top="0.75" bottom="0.75" header="0.3" footer="0.3"/>
  <pageSetup paperSize="9" orientation="portrait" horizontalDpi="0" verticalDpi="0"/>
  <headerFooter>
    <oddFooter>&amp;L_x000D_&amp;1#&amp;"Aptos"&amp;10&amp;K000000 Customer Confidential-Not for free circulation follow handing practises</oddFooter>
  </headerFooter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0731F-647A-4EDA-8AD1-9563F47B4299}">
  <dimension ref="A1:G5"/>
  <sheetViews>
    <sheetView zoomScale="57" workbookViewId="0">
      <selection activeCell="C31" sqref="C31"/>
    </sheetView>
  </sheetViews>
  <sheetFormatPr defaultColWidth="29.23046875" defaultRowHeight="12.5"/>
  <cols>
    <col min="1" max="16384" width="29.23046875" style="248"/>
  </cols>
  <sheetData>
    <row r="1" spans="1:7" ht="13">
      <c r="A1" s="247" t="s">
        <v>488</v>
      </c>
      <c r="B1" s="247" t="s">
        <v>489</v>
      </c>
      <c r="C1" s="247" t="s">
        <v>490</v>
      </c>
      <c r="D1" s="247" t="s">
        <v>491</v>
      </c>
      <c r="E1" s="247" t="s">
        <v>492</v>
      </c>
      <c r="F1" s="247" t="s">
        <v>493</v>
      </c>
      <c r="G1" s="247" t="s">
        <v>494</v>
      </c>
    </row>
    <row r="2" spans="1:7">
      <c r="A2" s="246" t="s">
        <v>495</v>
      </c>
      <c r="B2" s="248" t="s">
        <v>498</v>
      </c>
      <c r="C2" s="248" t="s">
        <v>499</v>
      </c>
      <c r="E2" s="248" t="s">
        <v>501</v>
      </c>
      <c r="F2" s="248" t="s">
        <v>47</v>
      </c>
      <c r="G2" s="248" t="s">
        <v>507</v>
      </c>
    </row>
    <row r="3" spans="1:7">
      <c r="A3" s="248" t="s">
        <v>496</v>
      </c>
      <c r="C3" s="248" t="s">
        <v>500</v>
      </c>
      <c r="E3" s="248" t="s">
        <v>502</v>
      </c>
      <c r="F3" s="248" t="s">
        <v>505</v>
      </c>
      <c r="G3" s="248" t="s">
        <v>508</v>
      </c>
    </row>
    <row r="4" spans="1:7">
      <c r="A4" s="248" t="s">
        <v>497</v>
      </c>
      <c r="E4" s="248" t="s">
        <v>503</v>
      </c>
      <c r="F4" s="248" t="s">
        <v>506</v>
      </c>
      <c r="G4" s="248" t="s">
        <v>509</v>
      </c>
    </row>
    <row r="5" spans="1:7">
      <c r="E5" s="248" t="s">
        <v>504</v>
      </c>
      <c r="F5" s="248" t="s">
        <v>52</v>
      </c>
      <c r="G5" s="248" t="s">
        <v>510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FDF1C-14CE-44CE-854B-C756EE1D653C}">
  <dimension ref="A1:B28"/>
  <sheetViews>
    <sheetView tabSelected="1" topLeftCell="A5" zoomScale="90" workbookViewId="0">
      <selection activeCell="B14" sqref="B14"/>
    </sheetView>
  </sheetViews>
  <sheetFormatPr defaultColWidth="22" defaultRowHeight="15.5"/>
  <cols>
    <col min="1" max="2" width="22" style="249"/>
  </cols>
  <sheetData>
    <row r="1" spans="1:2">
      <c r="A1" s="250" t="s">
        <v>547</v>
      </c>
      <c r="B1" s="250" t="s">
        <v>548</v>
      </c>
    </row>
    <row r="2" spans="1:2">
      <c r="A2" s="249" t="s">
        <v>511</v>
      </c>
      <c r="B2" s="249" t="s">
        <v>373</v>
      </c>
    </row>
    <row r="3" spans="1:2">
      <c r="A3" s="249" t="s">
        <v>512</v>
      </c>
      <c r="B3" s="249" t="s">
        <v>373</v>
      </c>
    </row>
    <row r="4" spans="1:2">
      <c r="A4" s="249" t="s">
        <v>513</v>
      </c>
      <c r="B4" s="249" t="s">
        <v>514</v>
      </c>
    </row>
    <row r="5" spans="1:2">
      <c r="A5" s="249" t="s">
        <v>515</v>
      </c>
      <c r="B5" s="249" t="s">
        <v>120</v>
      </c>
    </row>
    <row r="6" spans="1:2">
      <c r="A6" s="249" t="s">
        <v>516</v>
      </c>
      <c r="B6" s="249" t="s">
        <v>517</v>
      </c>
    </row>
    <row r="7" spans="1:2">
      <c r="A7" s="249" t="s">
        <v>518</v>
      </c>
      <c r="B7" s="249" t="s">
        <v>78</v>
      </c>
    </row>
    <row r="8" spans="1:2">
      <c r="A8" s="249" t="s">
        <v>519</v>
      </c>
      <c r="B8" s="249" t="s">
        <v>78</v>
      </c>
    </row>
    <row r="9" spans="1:2">
      <c r="A9" s="249" t="s">
        <v>520</v>
      </c>
      <c r="B9" s="249" t="s">
        <v>521</v>
      </c>
    </row>
    <row r="10" spans="1:2">
      <c r="A10" s="251" t="s">
        <v>522</v>
      </c>
      <c r="B10" s="249" t="s">
        <v>521</v>
      </c>
    </row>
    <row r="11" spans="1:2">
      <c r="A11" s="251" t="s">
        <v>523</v>
      </c>
      <c r="B11" s="249" t="s">
        <v>525</v>
      </c>
    </row>
    <row r="12" spans="1:2">
      <c r="A12" s="251" t="s">
        <v>524</v>
      </c>
      <c r="B12" s="249" t="s">
        <v>525</v>
      </c>
    </row>
    <row r="13" spans="1:2">
      <c r="A13" s="251" t="s">
        <v>526</v>
      </c>
      <c r="B13" s="249" t="s">
        <v>527</v>
      </c>
    </row>
    <row r="14" spans="1:2">
      <c r="A14" s="251" t="s">
        <v>528</v>
      </c>
      <c r="B14" s="249" t="s">
        <v>529</v>
      </c>
    </row>
    <row r="15" spans="1:2">
      <c r="A15" s="251" t="s">
        <v>530</v>
      </c>
      <c r="B15" s="249" t="s">
        <v>531</v>
      </c>
    </row>
    <row r="16" spans="1:2">
      <c r="A16" s="251" t="s">
        <v>532</v>
      </c>
      <c r="B16" s="249" t="s">
        <v>351</v>
      </c>
    </row>
    <row r="17" spans="1:2">
      <c r="A17" s="251" t="s">
        <v>533</v>
      </c>
      <c r="B17" s="249" t="s">
        <v>351</v>
      </c>
    </row>
    <row r="18" spans="1:2">
      <c r="A18" s="251" t="s">
        <v>534</v>
      </c>
      <c r="B18" s="249" t="s">
        <v>351</v>
      </c>
    </row>
    <row r="19" spans="1:2">
      <c r="A19" s="251" t="s">
        <v>535</v>
      </c>
      <c r="B19" s="249" t="s">
        <v>351</v>
      </c>
    </row>
    <row r="20" spans="1:2">
      <c r="A20" s="251" t="s">
        <v>536</v>
      </c>
      <c r="B20" s="249" t="s">
        <v>351</v>
      </c>
    </row>
    <row r="21" spans="1:2">
      <c r="A21" s="251" t="s">
        <v>537</v>
      </c>
      <c r="B21" s="249" t="s">
        <v>24</v>
      </c>
    </row>
    <row r="22" spans="1:2">
      <c r="A22" s="251" t="s">
        <v>538</v>
      </c>
      <c r="B22" s="249" t="s">
        <v>539</v>
      </c>
    </row>
    <row r="23" spans="1:2">
      <c r="A23" s="251" t="s">
        <v>538</v>
      </c>
      <c r="B23" s="249" t="s">
        <v>304</v>
      </c>
    </row>
    <row r="24" spans="1:2">
      <c r="A24" s="251" t="s">
        <v>540</v>
      </c>
      <c r="B24" s="249" t="s">
        <v>542</v>
      </c>
    </row>
    <row r="25" spans="1:2">
      <c r="A25" s="251" t="s">
        <v>541</v>
      </c>
      <c r="B25" s="249" t="s">
        <v>542</v>
      </c>
    </row>
    <row r="26" spans="1:2">
      <c r="A26" s="251" t="s">
        <v>543</v>
      </c>
      <c r="B26" s="249" t="s">
        <v>544</v>
      </c>
    </row>
    <row r="27" spans="1:2">
      <c r="A27" s="251" t="s">
        <v>545</v>
      </c>
      <c r="B27" s="249" t="s">
        <v>26</v>
      </c>
    </row>
    <row r="28" spans="1:2">
      <c r="A28" s="251" t="s">
        <v>546</v>
      </c>
      <c r="B28" s="249" t="s">
        <v>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3D7E0-2F4C-C142-90F6-BF0789CFF959}">
  <dimension ref="A1:E38"/>
  <sheetViews>
    <sheetView topLeftCell="A21" zoomScale="110" zoomScaleNormal="110" workbookViewId="0">
      <selection activeCell="A25" sqref="A25:E38"/>
    </sheetView>
  </sheetViews>
  <sheetFormatPr defaultColWidth="11" defaultRowHeight="15.5"/>
  <cols>
    <col min="1" max="1" width="33" customWidth="1"/>
    <col min="2" max="2" width="33" style="35" customWidth="1"/>
    <col min="3" max="3" width="33" customWidth="1"/>
    <col min="4" max="4" width="33" style="35" customWidth="1"/>
    <col min="5" max="5" width="33" customWidth="1"/>
  </cols>
  <sheetData>
    <row r="1" spans="1:5">
      <c r="A1" s="235" t="s">
        <v>413</v>
      </c>
      <c r="B1" s="235"/>
      <c r="C1" s="235"/>
      <c r="D1" s="235"/>
      <c r="E1" s="235"/>
    </row>
    <row r="2" spans="1:5">
      <c r="A2" s="236"/>
      <c r="B2" s="236"/>
      <c r="C2" s="236"/>
      <c r="D2" s="236"/>
      <c r="E2" s="236"/>
    </row>
    <row r="3" spans="1:5">
      <c r="A3" s="19" t="s">
        <v>39</v>
      </c>
      <c r="B3" s="33" t="s">
        <v>41</v>
      </c>
      <c r="C3" s="19" t="s">
        <v>43</v>
      </c>
      <c r="D3" s="33" t="s">
        <v>44</v>
      </c>
      <c r="E3" s="93" t="s">
        <v>414</v>
      </c>
    </row>
    <row r="4" spans="1:5">
      <c r="A4" s="87" t="s">
        <v>48</v>
      </c>
      <c r="B4" s="88" t="s">
        <v>50</v>
      </c>
      <c r="C4" s="87"/>
      <c r="D4" s="88" t="s">
        <v>53</v>
      </c>
      <c r="E4" s="87" t="s">
        <v>265</v>
      </c>
    </row>
    <row r="5" spans="1:5">
      <c r="A5" s="87" t="s">
        <v>48</v>
      </c>
      <c r="B5" s="88" t="s">
        <v>56</v>
      </c>
      <c r="C5" s="87"/>
      <c r="D5" s="88" t="s">
        <v>53</v>
      </c>
      <c r="E5" s="120" t="s">
        <v>266</v>
      </c>
    </row>
    <row r="6" spans="1:5">
      <c r="A6" s="87" t="s">
        <v>48</v>
      </c>
      <c r="B6" s="92" t="s">
        <v>58</v>
      </c>
      <c r="C6" s="87"/>
      <c r="D6" s="88" t="s">
        <v>59</v>
      </c>
      <c r="E6" s="87" t="s">
        <v>267</v>
      </c>
    </row>
    <row r="7" spans="1:5">
      <c r="A7" s="87" t="s">
        <v>48</v>
      </c>
      <c r="B7" s="92" t="s">
        <v>63</v>
      </c>
      <c r="C7" s="87"/>
      <c r="D7" s="88" t="s">
        <v>59</v>
      </c>
      <c r="E7" s="87" t="s">
        <v>267</v>
      </c>
    </row>
    <row r="8" spans="1:5" ht="31">
      <c r="A8" s="87" t="s">
        <v>48</v>
      </c>
      <c r="B8" s="92" t="s">
        <v>268</v>
      </c>
      <c r="C8" s="87" t="s">
        <v>69</v>
      </c>
      <c r="D8" s="88" t="s">
        <v>59</v>
      </c>
      <c r="E8" s="87" t="s">
        <v>78</v>
      </c>
    </row>
    <row r="9" spans="1:5" ht="46.5">
      <c r="A9" s="87" t="s">
        <v>48</v>
      </c>
      <c r="B9" s="92" t="s">
        <v>269</v>
      </c>
      <c r="C9" s="87" t="s">
        <v>77</v>
      </c>
      <c r="D9" s="88" t="s">
        <v>59</v>
      </c>
      <c r="E9" s="87" t="s">
        <v>78</v>
      </c>
    </row>
    <row r="10" spans="1:5">
      <c r="A10" s="87" t="s">
        <v>48</v>
      </c>
      <c r="B10" s="92" t="s">
        <v>270</v>
      </c>
      <c r="C10" s="87">
        <v>500</v>
      </c>
      <c r="D10" s="88" t="s">
        <v>53</v>
      </c>
      <c r="E10" s="87" t="s">
        <v>78</v>
      </c>
    </row>
    <row r="11" spans="1:5">
      <c r="A11" s="87" t="s">
        <v>48</v>
      </c>
      <c r="B11" s="92" t="s">
        <v>271</v>
      </c>
      <c r="C11" s="87" t="s">
        <v>85</v>
      </c>
      <c r="D11" s="88" t="s">
        <v>53</v>
      </c>
      <c r="E11" s="87" t="s">
        <v>272</v>
      </c>
    </row>
    <row r="12" spans="1:5" ht="45" customHeight="1">
      <c r="A12" s="87" t="s">
        <v>48</v>
      </c>
      <c r="B12" s="92" t="s">
        <v>273</v>
      </c>
      <c r="C12" s="87">
        <v>600</v>
      </c>
      <c r="D12" s="88" t="s">
        <v>53</v>
      </c>
      <c r="E12" s="89" t="s">
        <v>22</v>
      </c>
    </row>
    <row r="13" spans="1:5" ht="31">
      <c r="A13" s="87" t="s">
        <v>48</v>
      </c>
      <c r="B13" s="92" t="s">
        <v>274</v>
      </c>
      <c r="C13" s="87">
        <v>500</v>
      </c>
      <c r="D13" s="88" t="s">
        <v>59</v>
      </c>
      <c r="E13" s="90" t="s">
        <v>275</v>
      </c>
    </row>
    <row r="14" spans="1:5" ht="31">
      <c r="A14" s="87" t="s">
        <v>48</v>
      </c>
      <c r="B14" s="92" t="s">
        <v>276</v>
      </c>
      <c r="C14" s="87" t="s">
        <v>77</v>
      </c>
      <c r="D14" s="88" t="s">
        <v>97</v>
      </c>
      <c r="E14" s="87" t="s">
        <v>78</v>
      </c>
    </row>
    <row r="15" spans="1:5" ht="17.149999999999999" customHeight="1">
      <c r="A15" s="87" t="s">
        <v>100</v>
      </c>
      <c r="B15" s="92" t="s">
        <v>277</v>
      </c>
      <c r="C15" s="87" t="s">
        <v>103</v>
      </c>
      <c r="D15" s="88" t="s">
        <v>53</v>
      </c>
      <c r="E15" s="87" t="s">
        <v>139</v>
      </c>
    </row>
    <row r="16" spans="1:5">
      <c r="A16" s="87" t="s">
        <v>100</v>
      </c>
      <c r="B16" s="92" t="s">
        <v>106</v>
      </c>
      <c r="C16" s="91" t="s">
        <v>55</v>
      </c>
      <c r="D16" s="88" t="s">
        <v>107</v>
      </c>
      <c r="E16" s="87" t="s">
        <v>139</v>
      </c>
    </row>
    <row r="17" spans="1:5" ht="31">
      <c r="A17" s="87" t="s">
        <v>100</v>
      </c>
      <c r="B17" s="92" t="s">
        <v>278</v>
      </c>
      <c r="C17" s="87" t="s">
        <v>114</v>
      </c>
      <c r="D17" s="88" t="s">
        <v>115</v>
      </c>
      <c r="E17" s="87" t="s">
        <v>279</v>
      </c>
    </row>
    <row r="18" spans="1:5" ht="31">
      <c r="A18" s="87" t="s">
        <v>100</v>
      </c>
      <c r="B18" s="92" t="s">
        <v>280</v>
      </c>
      <c r="C18" s="87" t="s">
        <v>121</v>
      </c>
      <c r="D18" s="88" t="s">
        <v>122</v>
      </c>
      <c r="E18" s="87" t="s">
        <v>281</v>
      </c>
    </row>
    <row r="19" spans="1:5" ht="46.5">
      <c r="A19" s="87" t="s">
        <v>100</v>
      </c>
      <c r="B19" s="92" t="s">
        <v>282</v>
      </c>
      <c r="C19" s="87">
        <v>72</v>
      </c>
      <c r="D19" s="88" t="s">
        <v>53</v>
      </c>
      <c r="E19" s="87" t="s">
        <v>279</v>
      </c>
    </row>
    <row r="20" spans="1:5">
      <c r="A20" s="87" t="s">
        <v>100</v>
      </c>
      <c r="B20" s="92" t="s">
        <v>271</v>
      </c>
      <c r="C20" s="87" t="s">
        <v>128</v>
      </c>
      <c r="D20" s="88" t="s">
        <v>129</v>
      </c>
      <c r="E20" s="87" t="s">
        <v>272</v>
      </c>
    </row>
    <row r="21" spans="1:5" ht="31">
      <c r="A21" s="87" t="s">
        <v>100</v>
      </c>
      <c r="B21" s="92" t="s">
        <v>283</v>
      </c>
      <c r="C21" s="87" t="s">
        <v>132</v>
      </c>
      <c r="D21" s="88" t="s">
        <v>53</v>
      </c>
      <c r="E21" s="87" t="s">
        <v>284</v>
      </c>
    </row>
    <row r="22" spans="1:5">
      <c r="A22" s="87" t="s">
        <v>100</v>
      </c>
      <c r="B22" s="88" t="s">
        <v>285</v>
      </c>
      <c r="C22" s="87" t="s">
        <v>114</v>
      </c>
      <c r="D22" s="88" t="s">
        <v>107</v>
      </c>
      <c r="E22" s="87" t="s">
        <v>279</v>
      </c>
    </row>
    <row r="23" spans="1:5">
      <c r="A23" s="87" t="s">
        <v>100</v>
      </c>
      <c r="B23" s="88" t="s">
        <v>286</v>
      </c>
      <c r="C23" s="87" t="s">
        <v>138</v>
      </c>
      <c r="D23" s="88" t="s">
        <v>53</v>
      </c>
      <c r="E23" s="87" t="s">
        <v>279</v>
      </c>
    </row>
    <row r="24" spans="1:5" ht="18">
      <c r="A24" s="237" t="s">
        <v>415</v>
      </c>
      <c r="B24" s="238"/>
      <c r="C24" s="238"/>
      <c r="D24" s="238"/>
      <c r="E24" s="239"/>
    </row>
    <row r="25" spans="1:5">
      <c r="A25" s="87" t="s">
        <v>143</v>
      </c>
      <c r="B25" s="88" t="s">
        <v>50</v>
      </c>
      <c r="C25" s="87"/>
      <c r="D25" s="95" t="s">
        <v>144</v>
      </c>
      <c r="E25" s="94" t="s">
        <v>265</v>
      </c>
    </row>
    <row r="26" spans="1:5">
      <c r="A26" s="87" t="s">
        <v>143</v>
      </c>
      <c r="B26" s="88" t="s">
        <v>56</v>
      </c>
      <c r="C26" s="87"/>
      <c r="D26" s="95" t="s">
        <v>144</v>
      </c>
      <c r="E26" s="94" t="s">
        <v>266</v>
      </c>
    </row>
    <row r="27" spans="1:5">
      <c r="A27" s="87" t="s">
        <v>143</v>
      </c>
      <c r="B27" s="92" t="s">
        <v>83</v>
      </c>
      <c r="C27" s="87" t="s">
        <v>85</v>
      </c>
      <c r="D27" s="95" t="s">
        <v>145</v>
      </c>
      <c r="E27" s="87" t="s">
        <v>272</v>
      </c>
    </row>
    <row r="28" spans="1:5">
      <c r="A28" s="87" t="s">
        <v>143</v>
      </c>
      <c r="B28" s="92" t="s">
        <v>87</v>
      </c>
      <c r="C28" s="87">
        <v>300</v>
      </c>
      <c r="D28" s="95" t="s">
        <v>147</v>
      </c>
      <c r="E28" s="87" t="s">
        <v>22</v>
      </c>
    </row>
    <row r="29" spans="1:5">
      <c r="A29" s="87" t="s">
        <v>143</v>
      </c>
      <c r="B29" s="92" t="s">
        <v>96</v>
      </c>
      <c r="C29" s="87" t="s">
        <v>77</v>
      </c>
      <c r="D29" s="95" t="s">
        <v>152</v>
      </c>
      <c r="E29" s="87" t="s">
        <v>78</v>
      </c>
    </row>
    <row r="30" spans="1:5">
      <c r="A30" s="87" t="s">
        <v>155</v>
      </c>
      <c r="B30" s="92" t="s">
        <v>287</v>
      </c>
      <c r="C30" s="87" t="s">
        <v>55</v>
      </c>
      <c r="D30" s="95" t="s">
        <v>156</v>
      </c>
      <c r="E30" s="87" t="s">
        <v>139</v>
      </c>
    </row>
    <row r="31" spans="1:5">
      <c r="A31" s="87" t="s">
        <v>155</v>
      </c>
      <c r="B31" s="92" t="s">
        <v>106</v>
      </c>
      <c r="C31" s="91" t="s">
        <v>55</v>
      </c>
      <c r="D31" s="95" t="s">
        <v>288</v>
      </c>
      <c r="E31" s="87" t="s">
        <v>139</v>
      </c>
    </row>
    <row r="32" spans="1:5">
      <c r="A32" s="87" t="s">
        <v>155</v>
      </c>
      <c r="B32" s="92" t="s">
        <v>112</v>
      </c>
      <c r="C32" s="87" t="s">
        <v>114</v>
      </c>
      <c r="D32" s="95" t="s">
        <v>160</v>
      </c>
      <c r="E32" s="87" t="s">
        <v>279</v>
      </c>
    </row>
    <row r="33" spans="1:5" ht="31">
      <c r="A33" s="87" t="s">
        <v>155</v>
      </c>
      <c r="B33" s="92" t="s">
        <v>289</v>
      </c>
      <c r="C33" s="87" t="s">
        <v>165</v>
      </c>
      <c r="D33" s="95" t="s">
        <v>160</v>
      </c>
      <c r="E33" s="87" t="s">
        <v>78</v>
      </c>
    </row>
    <row r="34" spans="1:5" ht="46.5">
      <c r="A34" s="87" t="s">
        <v>155</v>
      </c>
      <c r="B34" s="92" t="s">
        <v>282</v>
      </c>
      <c r="C34" s="87" t="s">
        <v>77</v>
      </c>
      <c r="D34" s="95" t="s">
        <v>167</v>
      </c>
      <c r="E34" s="87" t="s">
        <v>279</v>
      </c>
    </row>
    <row r="35" spans="1:5">
      <c r="A35" s="87" t="s">
        <v>155</v>
      </c>
      <c r="B35" s="92" t="s">
        <v>83</v>
      </c>
      <c r="C35" s="87">
        <v>24</v>
      </c>
      <c r="D35" s="88" t="s">
        <v>170</v>
      </c>
      <c r="E35" s="87" t="s">
        <v>173</v>
      </c>
    </row>
    <row r="36" spans="1:5" ht="31">
      <c r="A36" s="87" t="s">
        <v>155</v>
      </c>
      <c r="B36" s="92" t="s">
        <v>283</v>
      </c>
      <c r="C36" s="87">
        <v>110</v>
      </c>
      <c r="D36" s="95" t="s">
        <v>167</v>
      </c>
      <c r="E36" s="87" t="s">
        <v>179</v>
      </c>
    </row>
    <row r="37" spans="1:5">
      <c r="A37" s="87" t="s">
        <v>155</v>
      </c>
      <c r="B37" s="88" t="s">
        <v>285</v>
      </c>
      <c r="C37" s="87" t="s">
        <v>114</v>
      </c>
      <c r="D37" s="95" t="s">
        <v>167</v>
      </c>
      <c r="E37" s="87" t="s">
        <v>279</v>
      </c>
    </row>
    <row r="38" spans="1:5">
      <c r="A38" s="87" t="s">
        <v>155</v>
      </c>
      <c r="B38" s="88" t="s">
        <v>290</v>
      </c>
      <c r="C38" s="87" t="s">
        <v>138</v>
      </c>
      <c r="D38" s="95" t="s">
        <v>167</v>
      </c>
      <c r="E38" s="87" t="s">
        <v>279</v>
      </c>
    </row>
  </sheetData>
  <mergeCells count="2">
    <mergeCell ref="A1:E2"/>
    <mergeCell ref="A24:E24"/>
  </mergeCells>
  <pageMargins left="0.7" right="0.7" top="0.75" bottom="0.75" header="0.3" footer="0.3"/>
  <pageSetup paperSize="9" orientation="portrait" horizontalDpi="0" verticalDpi="0"/>
  <headerFooter>
    <oddFooter>&amp;L_x000D_&amp;1#&amp;"Calibri"&amp;10&amp;K000000 Aequs Internal-Strictly this data should remain with Aequs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E4DBF-792A-4E4C-9889-E7E4733E44F4}">
  <dimension ref="A3:G22"/>
  <sheetViews>
    <sheetView zoomScale="109" zoomScaleNormal="160" workbookViewId="0">
      <selection activeCell="D25" sqref="D25"/>
    </sheetView>
  </sheetViews>
  <sheetFormatPr defaultColWidth="11" defaultRowHeight="15.5"/>
  <cols>
    <col min="1" max="5" width="27.61328125" customWidth="1"/>
    <col min="6" max="6" width="27.61328125" hidden="1" customWidth="1"/>
    <col min="7" max="7" width="27.61328125" customWidth="1"/>
  </cols>
  <sheetData>
    <row r="3" spans="1:7">
      <c r="A3" s="19" t="s">
        <v>39</v>
      </c>
      <c r="B3" s="19" t="s">
        <v>41</v>
      </c>
      <c r="C3" s="19" t="s">
        <v>42</v>
      </c>
      <c r="D3" s="19" t="s">
        <v>416</v>
      </c>
      <c r="E3" s="19" t="s">
        <v>44</v>
      </c>
      <c r="F3" s="19" t="s">
        <v>45</v>
      </c>
      <c r="G3" s="19" t="s">
        <v>417</v>
      </c>
    </row>
    <row r="4" spans="1:7" ht="24" customHeight="1">
      <c r="A4" s="240" t="s">
        <v>418</v>
      </c>
      <c r="B4" s="20" t="s">
        <v>50</v>
      </c>
      <c r="C4" s="20" t="s">
        <v>51</v>
      </c>
      <c r="D4" s="20"/>
      <c r="E4" s="20" t="s">
        <v>53</v>
      </c>
      <c r="F4" s="20" t="s">
        <v>54</v>
      </c>
      <c r="G4" s="20" t="s">
        <v>298</v>
      </c>
    </row>
    <row r="5" spans="1:7">
      <c r="A5" s="241"/>
      <c r="B5" s="20" t="s">
        <v>56</v>
      </c>
      <c r="C5" s="20" t="s">
        <v>51</v>
      </c>
      <c r="D5" s="20"/>
      <c r="E5" s="20" t="s">
        <v>53</v>
      </c>
      <c r="F5" s="20" t="s">
        <v>57</v>
      </c>
      <c r="G5" s="20" t="s">
        <v>301</v>
      </c>
    </row>
    <row r="6" spans="1:7">
      <c r="A6" s="241"/>
      <c r="B6" s="24" t="s">
        <v>58</v>
      </c>
      <c r="C6" s="20" t="s">
        <v>51</v>
      </c>
      <c r="D6" s="20" t="s">
        <v>187</v>
      </c>
      <c r="E6" s="20" t="s">
        <v>59</v>
      </c>
      <c r="F6" s="20" t="s">
        <v>60</v>
      </c>
      <c r="G6" s="20" t="s">
        <v>304</v>
      </c>
    </row>
    <row r="7" spans="1:7">
      <c r="A7" s="242"/>
      <c r="B7" s="24" t="s">
        <v>63</v>
      </c>
      <c r="C7" s="20" t="s">
        <v>51</v>
      </c>
      <c r="D7" s="20" t="s">
        <v>419</v>
      </c>
      <c r="E7" s="20" t="s">
        <v>59</v>
      </c>
      <c r="F7" s="20" t="s">
        <v>64</v>
      </c>
      <c r="G7" s="20" t="s">
        <v>304</v>
      </c>
    </row>
    <row r="8" spans="1:7">
      <c r="A8" s="240" t="s">
        <v>420</v>
      </c>
      <c r="B8" s="20" t="s">
        <v>50</v>
      </c>
      <c r="C8" s="20" t="s">
        <v>51</v>
      </c>
      <c r="D8" s="20"/>
      <c r="E8" s="20" t="s">
        <v>53</v>
      </c>
      <c r="F8" s="20" t="s">
        <v>54</v>
      </c>
      <c r="G8" s="20" t="s">
        <v>298</v>
      </c>
    </row>
    <row r="9" spans="1:7">
      <c r="A9" s="241"/>
      <c r="B9" s="20" t="s">
        <v>56</v>
      </c>
      <c r="C9" s="20" t="s">
        <v>51</v>
      </c>
      <c r="D9" s="20"/>
      <c r="E9" s="20" t="s">
        <v>53</v>
      </c>
      <c r="F9" s="20" t="s">
        <v>57</v>
      </c>
      <c r="G9" s="20" t="s">
        <v>301</v>
      </c>
    </row>
    <row r="10" spans="1:7">
      <c r="A10" s="241"/>
      <c r="B10" s="24" t="s">
        <v>58</v>
      </c>
      <c r="C10" s="20" t="s">
        <v>51</v>
      </c>
      <c r="D10" s="20" t="s">
        <v>187</v>
      </c>
      <c r="E10" s="20" t="s">
        <v>59</v>
      </c>
      <c r="F10" s="20" t="s">
        <v>60</v>
      </c>
      <c r="G10" s="20" t="s">
        <v>304</v>
      </c>
    </row>
    <row r="11" spans="1:7">
      <c r="A11" s="242"/>
      <c r="B11" s="24" t="s">
        <v>63</v>
      </c>
      <c r="C11" s="20" t="s">
        <v>51</v>
      </c>
      <c r="D11" s="20" t="s">
        <v>419</v>
      </c>
      <c r="E11" s="20" t="s">
        <v>59</v>
      </c>
      <c r="F11" s="20" t="s">
        <v>64</v>
      </c>
      <c r="G11" s="20" t="s">
        <v>304</v>
      </c>
    </row>
    <row r="12" spans="1:7">
      <c r="A12" s="49"/>
      <c r="B12" s="50"/>
      <c r="C12" s="48"/>
      <c r="D12" s="48"/>
      <c r="E12" s="48"/>
      <c r="F12" s="23"/>
      <c r="G12" s="48"/>
    </row>
    <row r="13" spans="1:7" ht="20">
      <c r="A13" s="51" t="s">
        <v>421</v>
      </c>
      <c r="B13" s="52" t="s">
        <v>130</v>
      </c>
      <c r="C13" s="51" t="s">
        <v>131</v>
      </c>
      <c r="D13" s="51" t="s">
        <v>132</v>
      </c>
      <c r="E13" s="51" t="s">
        <v>53</v>
      </c>
      <c r="F13" s="23" t="s">
        <v>108</v>
      </c>
      <c r="G13" s="51" t="s">
        <v>422</v>
      </c>
    </row>
    <row r="14" spans="1:7" ht="20">
      <c r="A14" s="51" t="s">
        <v>423</v>
      </c>
      <c r="B14" s="52" t="s">
        <v>130</v>
      </c>
      <c r="C14" s="51" t="s">
        <v>131</v>
      </c>
      <c r="D14" s="51" t="s">
        <v>132</v>
      </c>
      <c r="E14" s="51" t="s">
        <v>424</v>
      </c>
      <c r="F14" s="23" t="s">
        <v>108</v>
      </c>
      <c r="G14" s="51" t="s">
        <v>422</v>
      </c>
    </row>
    <row r="15" spans="1:7">
      <c r="A15" s="243" t="s">
        <v>425</v>
      </c>
      <c r="B15" s="53" t="s">
        <v>190</v>
      </c>
      <c r="C15" s="55" t="s">
        <v>191</v>
      </c>
      <c r="D15" s="53" t="s">
        <v>192</v>
      </c>
      <c r="E15" s="53" t="s">
        <v>193</v>
      </c>
      <c r="F15" s="27"/>
      <c r="G15" s="53" t="s">
        <v>190</v>
      </c>
    </row>
    <row r="16" spans="1:7">
      <c r="A16" s="243"/>
      <c r="B16" s="54"/>
      <c r="C16" s="55" t="s">
        <v>194</v>
      </c>
      <c r="D16" s="54"/>
      <c r="E16" s="54"/>
      <c r="F16" s="27"/>
      <c r="G16" s="54"/>
    </row>
    <row r="17" spans="1:7">
      <c r="A17" s="243"/>
      <c r="B17" s="55" t="s">
        <v>195</v>
      </c>
      <c r="C17" s="55" t="s">
        <v>196</v>
      </c>
      <c r="D17" s="55" t="s">
        <v>197</v>
      </c>
      <c r="E17" s="55" t="s">
        <v>198</v>
      </c>
      <c r="F17" s="27"/>
      <c r="G17" s="55" t="s">
        <v>199</v>
      </c>
    </row>
    <row r="18" spans="1:7">
      <c r="A18" s="243"/>
      <c r="B18" s="55" t="s">
        <v>200</v>
      </c>
      <c r="C18" s="55" t="s">
        <v>201</v>
      </c>
      <c r="D18" s="55" t="s">
        <v>202</v>
      </c>
      <c r="E18" s="55" t="s">
        <v>59</v>
      </c>
      <c r="F18" s="27"/>
      <c r="G18" s="55" t="s">
        <v>199</v>
      </c>
    </row>
    <row r="19" spans="1:7">
      <c r="A19" s="243"/>
      <c r="B19" s="27" t="s">
        <v>37</v>
      </c>
      <c r="C19" s="27" t="s">
        <v>229</v>
      </c>
      <c r="D19" s="27" t="s">
        <v>230</v>
      </c>
      <c r="E19" s="27" t="s">
        <v>227</v>
      </c>
      <c r="F19" s="27"/>
      <c r="G19" s="27" t="s">
        <v>231</v>
      </c>
    </row>
    <row r="20" spans="1:7">
      <c r="A20" s="243"/>
      <c r="B20" s="27" t="s">
        <v>31</v>
      </c>
      <c r="C20" s="27" t="s">
        <v>232</v>
      </c>
      <c r="D20" s="27" t="s">
        <v>233</v>
      </c>
      <c r="E20" s="27" t="s">
        <v>227</v>
      </c>
      <c r="F20" s="27"/>
      <c r="G20" s="27" t="s">
        <v>234</v>
      </c>
    </row>
    <row r="21" spans="1:7">
      <c r="A21" s="243"/>
      <c r="B21" s="27" t="s">
        <v>33</v>
      </c>
      <c r="C21" s="27" t="s">
        <v>232</v>
      </c>
      <c r="D21" s="27" t="s">
        <v>233</v>
      </c>
      <c r="E21" s="27" t="s">
        <v>227</v>
      </c>
      <c r="F21" s="27"/>
      <c r="G21" s="27" t="s">
        <v>34</v>
      </c>
    </row>
    <row r="22" spans="1:7">
      <c r="A22" s="243"/>
      <c r="B22" s="27" t="s">
        <v>35</v>
      </c>
      <c r="C22" s="27" t="s">
        <v>232</v>
      </c>
      <c r="D22" s="27" t="s">
        <v>233</v>
      </c>
      <c r="E22" s="27" t="s">
        <v>227</v>
      </c>
      <c r="F22" s="27"/>
      <c r="G22" s="27" t="s">
        <v>36</v>
      </c>
    </row>
  </sheetData>
  <mergeCells count="3">
    <mergeCell ref="A4:A7"/>
    <mergeCell ref="A8:A11"/>
    <mergeCell ref="A15:A22"/>
  </mergeCells>
  <pageMargins left="0.7" right="0.7" top="0.75" bottom="0.75" header="0.3" footer="0.3"/>
  <pageSetup paperSize="9"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CF7BE-050D-AF40-9AFA-2640CBF3DFE6}">
  <dimension ref="A1:N27"/>
  <sheetViews>
    <sheetView workbookViewId="0">
      <selection activeCell="D32" sqref="D32"/>
    </sheetView>
  </sheetViews>
  <sheetFormatPr defaultColWidth="11" defaultRowHeight="15.5"/>
  <cols>
    <col min="2" max="5" width="33" customWidth="1"/>
    <col min="6" max="7" width="17.07421875" customWidth="1"/>
  </cols>
  <sheetData>
    <row r="1" spans="1:12">
      <c r="A1" t="s">
        <v>426</v>
      </c>
    </row>
    <row r="4" spans="1:12">
      <c r="B4" s="21" t="s">
        <v>427</v>
      </c>
      <c r="C4" s="21"/>
      <c r="D4" s="21"/>
      <c r="E4" s="21"/>
      <c r="F4" s="21"/>
      <c r="G4" s="21"/>
      <c r="K4" t="s">
        <v>428</v>
      </c>
    </row>
    <row r="5" spans="1:12">
      <c r="B5" s="21"/>
      <c r="C5" s="21"/>
      <c r="D5" s="21"/>
      <c r="E5" s="21"/>
      <c r="F5" s="21"/>
      <c r="G5" s="21"/>
      <c r="K5" t="s">
        <v>44</v>
      </c>
      <c r="L5" t="s">
        <v>429</v>
      </c>
    </row>
    <row r="6" spans="1:12">
      <c r="B6" s="21" t="s">
        <v>430</v>
      </c>
      <c r="C6" s="21" t="s">
        <v>431</v>
      </c>
      <c r="D6" s="21" t="s">
        <v>432</v>
      </c>
      <c r="E6" s="21" t="s">
        <v>433</v>
      </c>
      <c r="F6" s="21" t="s">
        <v>434</v>
      </c>
      <c r="G6" s="21" t="s">
        <v>435</v>
      </c>
    </row>
    <row r="10" spans="1:12">
      <c r="A10" t="s">
        <v>436</v>
      </c>
      <c r="B10" s="86" t="s">
        <v>437</v>
      </c>
      <c r="C10" s="86" t="s">
        <v>438</v>
      </c>
      <c r="D10" s="86" t="s">
        <v>439</v>
      </c>
      <c r="E10" s="86" t="s">
        <v>44</v>
      </c>
    </row>
    <row r="11" spans="1:12">
      <c r="B11" s="21" t="s">
        <v>440</v>
      </c>
      <c r="C11" s="21" t="s">
        <v>441</v>
      </c>
      <c r="D11" s="21" t="s">
        <v>55</v>
      </c>
      <c r="E11" s="21">
        <v>3</v>
      </c>
    </row>
    <row r="12" spans="1:12">
      <c r="B12" s="21" t="s">
        <v>442</v>
      </c>
      <c r="C12" s="21" t="s">
        <v>443</v>
      </c>
      <c r="D12" s="21" t="s">
        <v>444</v>
      </c>
      <c r="E12" s="21">
        <v>1</v>
      </c>
    </row>
    <row r="13" spans="1:12">
      <c r="B13" s="21" t="s">
        <v>445</v>
      </c>
      <c r="C13" s="21" t="s">
        <v>441</v>
      </c>
      <c r="D13" s="21" t="s">
        <v>55</v>
      </c>
      <c r="E13" s="21" t="s">
        <v>446</v>
      </c>
      <c r="I13" t="s">
        <v>447</v>
      </c>
    </row>
    <row r="14" spans="1:12">
      <c r="B14" s="21" t="s">
        <v>448</v>
      </c>
      <c r="C14" s="21" t="s">
        <v>449</v>
      </c>
      <c r="D14" s="21"/>
      <c r="E14" s="21">
        <v>1</v>
      </c>
    </row>
    <row r="15" spans="1:12">
      <c r="B15" s="21" t="s">
        <v>450</v>
      </c>
      <c r="C15" s="21" t="s">
        <v>451</v>
      </c>
      <c r="D15" s="21" t="s">
        <v>452</v>
      </c>
      <c r="E15" s="21">
        <v>1</v>
      </c>
    </row>
    <row r="16" spans="1:12">
      <c r="B16" s="21" t="s">
        <v>453</v>
      </c>
      <c r="C16" s="21" t="s">
        <v>451</v>
      </c>
      <c r="D16" s="21" t="s">
        <v>454</v>
      </c>
      <c r="E16" s="21">
        <v>1</v>
      </c>
    </row>
    <row r="17" spans="2:14">
      <c r="B17" s="21" t="s">
        <v>455</v>
      </c>
      <c r="C17" s="21" t="s">
        <v>23</v>
      </c>
      <c r="D17" s="21" t="s">
        <v>456</v>
      </c>
      <c r="E17" s="21">
        <v>1</v>
      </c>
    </row>
    <row r="18" spans="2:14">
      <c r="B18" s="21" t="s">
        <v>457</v>
      </c>
      <c r="C18" s="21" t="s">
        <v>23</v>
      </c>
      <c r="D18" s="21" t="s">
        <v>458</v>
      </c>
      <c r="E18" s="21">
        <v>1</v>
      </c>
      <c r="N18" t="s">
        <v>459</v>
      </c>
    </row>
    <row r="19" spans="2:14">
      <c r="B19" s="21" t="s">
        <v>460</v>
      </c>
      <c r="C19" s="21" t="s">
        <v>461</v>
      </c>
      <c r="D19" s="21">
        <v>5750</v>
      </c>
      <c r="E19" s="21">
        <v>1</v>
      </c>
    </row>
    <row r="20" spans="2:14">
      <c r="B20" s="21" t="s">
        <v>462</v>
      </c>
      <c r="C20" s="21" t="s">
        <v>139</v>
      </c>
      <c r="D20" s="21" t="s">
        <v>463</v>
      </c>
      <c r="E20" s="21">
        <v>1</v>
      </c>
    </row>
    <row r="21" spans="2:14">
      <c r="B21" s="21" t="s">
        <v>464</v>
      </c>
      <c r="C21" s="21" t="s">
        <v>465</v>
      </c>
      <c r="D21" s="21" t="s">
        <v>466</v>
      </c>
      <c r="E21" s="21">
        <v>1</v>
      </c>
    </row>
    <row r="22" spans="2:14">
      <c r="B22" s="21" t="s">
        <v>467</v>
      </c>
      <c r="C22" s="21" t="s">
        <v>468</v>
      </c>
      <c r="D22" s="21" t="s">
        <v>55</v>
      </c>
      <c r="E22" s="21">
        <v>1</v>
      </c>
    </row>
    <row r="23" spans="2:14">
      <c r="B23" s="21" t="s">
        <v>469</v>
      </c>
      <c r="C23" s="21" t="s">
        <v>470</v>
      </c>
      <c r="D23" s="21" t="s">
        <v>471</v>
      </c>
      <c r="E23" s="21">
        <v>1</v>
      </c>
    </row>
    <row r="24" spans="2:14">
      <c r="B24" s="21" t="s">
        <v>472</v>
      </c>
      <c r="C24" s="21" t="s">
        <v>470</v>
      </c>
      <c r="D24" s="21" t="s">
        <v>473</v>
      </c>
      <c r="E24" s="21">
        <v>1</v>
      </c>
    </row>
    <row r="25" spans="2:14">
      <c r="B25" s="21" t="s">
        <v>474</v>
      </c>
      <c r="C25" s="21" t="s">
        <v>470</v>
      </c>
      <c r="D25" s="21" t="s">
        <v>475</v>
      </c>
      <c r="E25" s="21">
        <v>1</v>
      </c>
    </row>
    <row r="26" spans="2:14">
      <c r="B26" s="21" t="s">
        <v>373</v>
      </c>
      <c r="C26" s="21" t="s">
        <v>470</v>
      </c>
      <c r="D26" s="21" t="s">
        <v>476</v>
      </c>
      <c r="E26" s="21">
        <v>1</v>
      </c>
    </row>
    <row r="27" spans="2:14">
      <c r="B27" s="21" t="s">
        <v>477</v>
      </c>
      <c r="C27" s="21" t="s">
        <v>478</v>
      </c>
      <c r="D27" s="21" t="s">
        <v>479</v>
      </c>
      <c r="E27" s="21">
        <v>1</v>
      </c>
    </row>
  </sheetData>
  <autoFilter ref="B10:E27" xr:uid="{590CF7BE-050D-AF40-9AFA-2640CBF3DFE6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EBD54-5660-0B49-9264-14D5EBC54CD4}">
  <dimension ref="B1:L33"/>
  <sheetViews>
    <sheetView workbookViewId="0">
      <selection activeCell="K61" sqref="K61"/>
    </sheetView>
  </sheetViews>
  <sheetFormatPr defaultColWidth="11" defaultRowHeight="15.5"/>
  <cols>
    <col min="2" max="2" width="17.921875" bestFit="1" customWidth="1"/>
  </cols>
  <sheetData>
    <row r="1" spans="2:7" ht="25">
      <c r="B1" s="244" t="s">
        <v>480</v>
      </c>
      <c r="C1" s="244"/>
      <c r="D1" s="244"/>
      <c r="E1" s="244"/>
      <c r="F1" s="244"/>
    </row>
    <row r="2" spans="2:7" ht="31">
      <c r="B2" s="19" t="s">
        <v>41</v>
      </c>
      <c r="C2" s="19" t="s">
        <v>42</v>
      </c>
      <c r="D2" s="19" t="s">
        <v>44</v>
      </c>
      <c r="E2" s="19" t="s">
        <v>416</v>
      </c>
      <c r="F2" s="19" t="s">
        <v>417</v>
      </c>
      <c r="G2" s="19" t="s">
        <v>481</v>
      </c>
    </row>
    <row r="3" spans="2:7">
      <c r="B3" s="27" t="s">
        <v>203</v>
      </c>
      <c r="C3" s="27" t="s">
        <v>204</v>
      </c>
      <c r="D3" s="27">
        <v>25</v>
      </c>
      <c r="E3" s="27">
        <v>72</v>
      </c>
      <c r="F3" s="27" t="s">
        <v>207</v>
      </c>
      <c r="G3" s="22">
        <f>D3*E3</f>
        <v>1800</v>
      </c>
    </row>
    <row r="4" spans="2:7">
      <c r="B4" s="27" t="s">
        <v>208</v>
      </c>
      <c r="C4" s="27" t="s">
        <v>204</v>
      </c>
      <c r="D4" s="27">
        <v>25</v>
      </c>
      <c r="E4" s="27">
        <v>72</v>
      </c>
      <c r="F4" s="27" t="s">
        <v>207</v>
      </c>
      <c r="G4" s="22">
        <f>D4*E4</f>
        <v>1800</v>
      </c>
    </row>
    <row r="5" spans="2:7">
      <c r="B5" s="27" t="s">
        <v>209</v>
      </c>
      <c r="C5" s="27" t="s">
        <v>204</v>
      </c>
      <c r="D5" s="27">
        <v>25</v>
      </c>
      <c r="E5" s="27">
        <v>72</v>
      </c>
      <c r="F5" s="27" t="s">
        <v>207</v>
      </c>
      <c r="G5" s="22">
        <f>D5*E5</f>
        <v>1800</v>
      </c>
    </row>
    <row r="6" spans="2:7">
      <c r="B6" s="27" t="s">
        <v>210</v>
      </c>
      <c r="C6" s="27" t="s">
        <v>204</v>
      </c>
      <c r="D6" s="27">
        <v>25</v>
      </c>
      <c r="E6" s="27" t="s">
        <v>482</v>
      </c>
      <c r="F6" s="27" t="s">
        <v>207</v>
      </c>
      <c r="G6" s="27">
        <v>1800</v>
      </c>
    </row>
    <row r="7" spans="2:7">
      <c r="B7" s="27" t="s">
        <v>212</v>
      </c>
      <c r="C7" s="27" t="s">
        <v>204</v>
      </c>
      <c r="D7" s="27">
        <v>25</v>
      </c>
      <c r="E7" s="27" t="s">
        <v>483</v>
      </c>
      <c r="F7" s="27" t="s">
        <v>207</v>
      </c>
      <c r="G7" s="27">
        <v>1800</v>
      </c>
    </row>
    <row r="8" spans="2:7">
      <c r="G8">
        <f>SUM(G3:G7)</f>
        <v>9000</v>
      </c>
    </row>
    <row r="10" spans="2:7">
      <c r="B10" s="245" t="s">
        <v>484</v>
      </c>
      <c r="C10" s="245"/>
      <c r="D10" s="245"/>
      <c r="E10" s="245"/>
      <c r="F10" s="245"/>
      <c r="G10" s="245"/>
    </row>
    <row r="11" spans="2:7">
      <c r="B11" s="27" t="s">
        <v>214</v>
      </c>
      <c r="C11" s="27" t="s">
        <v>215</v>
      </c>
      <c r="D11" s="27" t="s">
        <v>216</v>
      </c>
      <c r="E11" s="27" t="s">
        <v>217</v>
      </c>
      <c r="F11" s="27"/>
      <c r="G11" s="27" t="s">
        <v>218</v>
      </c>
    </row>
    <row r="33" spans="12:12">
      <c r="L33" t="s">
        <v>485</v>
      </c>
    </row>
  </sheetData>
  <mergeCells count="2">
    <mergeCell ref="B1:F1"/>
    <mergeCell ref="B10:G1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27F03-FE8D-4165-A39E-CE4BF32D4212}">
  <dimension ref="A1:I16"/>
  <sheetViews>
    <sheetView workbookViewId="0">
      <selection activeCell="G4" sqref="G4:G6"/>
    </sheetView>
  </sheetViews>
  <sheetFormatPr defaultColWidth="8.921875" defaultRowHeight="15.5"/>
  <cols>
    <col min="3" max="3" width="26.4609375" customWidth="1"/>
    <col min="6" max="6" width="20" bestFit="1" customWidth="1"/>
    <col min="7" max="7" width="22.61328125" bestFit="1" customWidth="1"/>
  </cols>
  <sheetData>
    <row r="1" spans="1:9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141</v>
      </c>
      <c r="H1" t="s">
        <v>45</v>
      </c>
      <c r="I1" t="s">
        <v>142</v>
      </c>
    </row>
    <row r="2" spans="1:9">
      <c r="A2" t="s">
        <v>143</v>
      </c>
      <c r="B2" t="s">
        <v>49</v>
      </c>
      <c r="C2" t="s">
        <v>50</v>
      </c>
      <c r="D2" t="s">
        <v>51</v>
      </c>
      <c r="E2" t="s">
        <v>52</v>
      </c>
      <c r="F2" t="s">
        <v>144</v>
      </c>
      <c r="H2" t="s">
        <v>54</v>
      </c>
    </row>
    <row r="3" spans="1:9">
      <c r="C3" t="s">
        <v>56</v>
      </c>
      <c r="D3" t="s">
        <v>51</v>
      </c>
      <c r="E3" t="s">
        <v>52</v>
      </c>
      <c r="F3" t="s">
        <v>144</v>
      </c>
      <c r="H3" t="s">
        <v>57</v>
      </c>
    </row>
    <row r="4" spans="1:9">
      <c r="B4" t="s">
        <v>66</v>
      </c>
      <c r="C4" t="s">
        <v>83</v>
      </c>
      <c r="D4" t="s">
        <v>84</v>
      </c>
      <c r="E4" t="s">
        <v>85</v>
      </c>
      <c r="F4" t="s">
        <v>145</v>
      </c>
      <c r="G4" t="s">
        <v>146</v>
      </c>
      <c r="H4" t="s">
        <v>70</v>
      </c>
      <c r="I4" t="s">
        <v>86</v>
      </c>
    </row>
    <row r="5" spans="1:9">
      <c r="C5" t="s">
        <v>87</v>
      </c>
      <c r="D5" t="s">
        <v>88</v>
      </c>
      <c r="E5" t="s">
        <v>89</v>
      </c>
      <c r="F5" t="s">
        <v>147</v>
      </c>
      <c r="G5" t="s">
        <v>148</v>
      </c>
      <c r="H5" t="s">
        <v>90</v>
      </c>
      <c r="I5" t="s">
        <v>22</v>
      </c>
    </row>
    <row r="6" spans="1:9">
      <c r="B6" t="s">
        <v>95</v>
      </c>
      <c r="C6" t="s">
        <v>96</v>
      </c>
      <c r="D6" t="s">
        <v>79</v>
      </c>
      <c r="E6" t="s">
        <v>77</v>
      </c>
      <c r="F6" t="s">
        <v>152</v>
      </c>
      <c r="G6" t="s">
        <v>153</v>
      </c>
      <c r="H6" t="s">
        <v>98</v>
      </c>
      <c r="I6" t="s">
        <v>154</v>
      </c>
    </row>
    <row r="7" spans="1:9">
      <c r="A7" t="s">
        <v>155</v>
      </c>
      <c r="B7" t="s">
        <v>101</v>
      </c>
      <c r="C7" t="s">
        <v>102</v>
      </c>
      <c r="D7" t="s">
        <v>51</v>
      </c>
      <c r="E7" t="s">
        <v>55</v>
      </c>
      <c r="F7" t="s">
        <v>156</v>
      </c>
      <c r="G7" t="s">
        <v>157</v>
      </c>
      <c r="H7" t="s">
        <v>104</v>
      </c>
      <c r="I7" t="s">
        <v>139</v>
      </c>
    </row>
    <row r="8" spans="1:9">
      <c r="C8" t="s">
        <v>105</v>
      </c>
    </row>
    <row r="9" spans="1:9">
      <c r="C9" t="s">
        <v>106</v>
      </c>
      <c r="D9" t="s">
        <v>51</v>
      </c>
      <c r="E9" t="s">
        <v>55</v>
      </c>
      <c r="F9" t="s">
        <v>158</v>
      </c>
      <c r="G9" t="s">
        <v>159</v>
      </c>
      <c r="H9" t="s">
        <v>108</v>
      </c>
      <c r="I9" t="s">
        <v>139</v>
      </c>
    </row>
    <row r="10" spans="1:9">
      <c r="B10" t="s">
        <v>111</v>
      </c>
      <c r="C10" t="s">
        <v>112</v>
      </c>
      <c r="D10" t="s">
        <v>113</v>
      </c>
      <c r="E10" t="s">
        <v>114</v>
      </c>
      <c r="F10" t="s">
        <v>160</v>
      </c>
      <c r="G10" t="s">
        <v>161</v>
      </c>
      <c r="H10" t="s">
        <v>162</v>
      </c>
      <c r="I10" t="s">
        <v>163</v>
      </c>
    </row>
    <row r="11" spans="1:9">
      <c r="C11" t="s">
        <v>120</v>
      </c>
      <c r="D11" t="s">
        <v>79</v>
      </c>
      <c r="E11" t="s">
        <v>165</v>
      </c>
      <c r="F11" t="s">
        <v>160</v>
      </c>
      <c r="G11" t="s">
        <v>161</v>
      </c>
      <c r="H11" t="s">
        <v>123</v>
      </c>
      <c r="I11" t="s">
        <v>166</v>
      </c>
    </row>
    <row r="12" spans="1:9">
      <c r="B12" t="s">
        <v>125</v>
      </c>
      <c r="C12" t="s">
        <v>75</v>
      </c>
      <c r="D12" t="s">
        <v>76</v>
      </c>
      <c r="E12" t="s">
        <v>77</v>
      </c>
      <c r="F12" t="s">
        <v>167</v>
      </c>
      <c r="G12" t="s">
        <v>168</v>
      </c>
      <c r="H12" t="s">
        <v>108</v>
      </c>
      <c r="I12" t="s">
        <v>169</v>
      </c>
    </row>
    <row r="13" spans="1:9">
      <c r="C13" t="s">
        <v>83</v>
      </c>
      <c r="D13" t="s">
        <v>84</v>
      </c>
      <c r="E13" t="s">
        <v>55</v>
      </c>
      <c r="F13" t="s">
        <v>170</v>
      </c>
      <c r="G13" t="s">
        <v>174</v>
      </c>
      <c r="H13" t="s">
        <v>172</v>
      </c>
      <c r="I13" t="s">
        <v>173</v>
      </c>
    </row>
    <row r="14" spans="1:9">
      <c r="C14" t="s">
        <v>130</v>
      </c>
      <c r="D14" t="s">
        <v>131</v>
      </c>
      <c r="E14" t="s">
        <v>55</v>
      </c>
      <c r="F14" t="s">
        <v>167</v>
      </c>
      <c r="G14" t="s">
        <v>168</v>
      </c>
      <c r="H14" t="s">
        <v>108</v>
      </c>
      <c r="I14" t="s">
        <v>179</v>
      </c>
    </row>
    <row r="15" spans="1:9">
      <c r="C15" t="s">
        <v>78</v>
      </c>
      <c r="D15" t="s">
        <v>134</v>
      </c>
      <c r="E15" t="s">
        <v>114</v>
      </c>
      <c r="F15" t="s">
        <v>167</v>
      </c>
      <c r="G15" t="s">
        <v>168</v>
      </c>
      <c r="H15" t="s">
        <v>108</v>
      </c>
      <c r="I15" t="s">
        <v>169</v>
      </c>
    </row>
    <row r="16" spans="1:9">
      <c r="C16" t="s">
        <v>78</v>
      </c>
      <c r="D16" t="s">
        <v>134</v>
      </c>
      <c r="E16" t="s">
        <v>138</v>
      </c>
      <c r="F16" t="s">
        <v>167</v>
      </c>
      <c r="G16" t="s">
        <v>167</v>
      </c>
      <c r="H16" t="s">
        <v>108</v>
      </c>
      <c r="I16" t="s">
        <v>169</v>
      </c>
    </row>
  </sheetData>
  <autoFilter ref="A1:I16" xr:uid="{88D27F03-FE8D-4165-A39E-CE4BF32D421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Summary Flash</vt:lpstr>
      <vt:lpstr>Summary Hulk</vt:lpstr>
      <vt:lpstr>Flash </vt:lpstr>
      <vt:lpstr>Hulk and flash </vt:lpstr>
      <vt:lpstr>Test Allocation</vt:lpstr>
      <vt:lpstr>OQC_Form</vt:lpstr>
      <vt:lpstr>Machine_Details</vt:lpstr>
      <vt:lpstr>Flash  (2)</vt:lpstr>
      <vt:lpstr>other</vt:lpstr>
      <vt:lpstr>Sheet2</vt:lpstr>
      <vt:lpstr>Random drop 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Jaideep SS</dc:creator>
  <cp:keywords/>
  <dc:description/>
  <cp:lastModifiedBy>LENOVO</cp:lastModifiedBy>
  <cp:revision/>
  <dcterms:created xsi:type="dcterms:W3CDTF">2025-09-19T06:15:28Z</dcterms:created>
  <dcterms:modified xsi:type="dcterms:W3CDTF">2026-02-01T13:47:39Z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35facff-9488-4f5a-8998-1837b0b9db01_Enabled">
    <vt:lpwstr>true</vt:lpwstr>
  </property>
  <property fmtid="{D5CDD505-2E9C-101B-9397-08002B2CF9AE}" pid="3" name="MSIP_Label_435facff-9488-4f5a-8998-1837b0b9db01_SetDate">
    <vt:lpwstr>2025-10-09T16:54:04Z</vt:lpwstr>
  </property>
  <property fmtid="{D5CDD505-2E9C-101B-9397-08002B2CF9AE}" pid="4" name="MSIP_Label_435facff-9488-4f5a-8998-1837b0b9db01_Method">
    <vt:lpwstr>Privileged</vt:lpwstr>
  </property>
  <property fmtid="{D5CDD505-2E9C-101B-9397-08002B2CF9AE}" pid="5" name="MSIP_Label_435facff-9488-4f5a-8998-1837b0b9db01_Name">
    <vt:lpwstr>General</vt:lpwstr>
  </property>
  <property fmtid="{D5CDD505-2E9C-101B-9397-08002B2CF9AE}" pid="6" name="MSIP_Label_435facff-9488-4f5a-8998-1837b0b9db01_SiteId">
    <vt:lpwstr>0e0f5bfc-3e6d-414f-8e75-abead7e01789</vt:lpwstr>
  </property>
  <property fmtid="{D5CDD505-2E9C-101B-9397-08002B2CF9AE}" pid="7" name="MSIP_Label_435facff-9488-4f5a-8998-1837b0b9db01_ActionId">
    <vt:lpwstr>3aa4e8f2-39da-4b86-a727-5bfabbdbddae</vt:lpwstr>
  </property>
  <property fmtid="{D5CDD505-2E9C-101B-9397-08002B2CF9AE}" pid="8" name="MSIP_Label_435facff-9488-4f5a-8998-1837b0b9db01_ContentBits">
    <vt:lpwstr>2</vt:lpwstr>
  </property>
  <property fmtid="{D5CDD505-2E9C-101B-9397-08002B2CF9AE}" pid="9" name="MSIP_Label_435facff-9488-4f5a-8998-1837b0b9db01_Tag">
    <vt:lpwstr>50, 0, 1, 1</vt:lpwstr>
  </property>
</Properties>
</file>